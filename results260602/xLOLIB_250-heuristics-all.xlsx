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ando\sugimoto_program\lop-decomposition-heuristics\results\constructive\"/>
    </mc:Choice>
  </mc:AlternateContent>
  <xr:revisionPtr revIDLastSave="0" documentId="13_ncr:1_{9A43405A-1461-4D9F-99E2-923CB30E31A0}" xr6:coauthVersionLast="47" xr6:coauthVersionMax="47" xr10:uidLastSave="{00000000-0000-0000-0000-000000000000}"/>
  <bookViews>
    <workbookView xWindow="7005" yWindow="405" windowWidth="28260" windowHeight="20430" xr2:uid="{7B5E9801-659E-4713-967B-00ADF02CDF76}"/>
  </bookViews>
  <sheets>
    <sheet name="xLOLIB_150-becker_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1" l="1"/>
  <c r="L42" i="1"/>
  <c r="I42" i="1"/>
  <c r="F42" i="1"/>
  <c r="C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3" i="1"/>
  <c r="K42" i="1" l="1"/>
  <c r="H42" i="1"/>
  <c r="Q42" i="1"/>
  <c r="E42" i="1"/>
  <c r="N42" i="1"/>
</calcChain>
</file>

<file path=xl/sharedStrings.xml><?xml version="1.0" encoding="utf-8"?>
<sst xmlns="http://schemas.openxmlformats.org/spreadsheetml/2006/main" count="71" uniqueCount="49">
  <si>
    <t>becker</t>
    <phoneticPr fontId="18"/>
  </si>
  <si>
    <t>borda</t>
    <phoneticPr fontId="18"/>
  </si>
  <si>
    <t>level</t>
    <phoneticPr fontId="18"/>
  </si>
  <si>
    <t>mincut</t>
    <phoneticPr fontId="18"/>
  </si>
  <si>
    <t>rborda</t>
    <phoneticPr fontId="18"/>
  </si>
  <si>
    <t>best_objval</t>
    <phoneticPr fontId="18"/>
  </si>
  <si>
    <t>time</t>
    <phoneticPr fontId="18"/>
  </si>
  <si>
    <t>obj</t>
    <phoneticPr fontId="18"/>
  </si>
  <si>
    <t>rel.dev.</t>
    <phoneticPr fontId="18"/>
  </si>
  <si>
    <t>N-be75eec_250</t>
  </si>
  <si>
    <t>N-be75np_250</t>
  </si>
  <si>
    <t>N-be75oi_250</t>
  </si>
  <si>
    <t>N-be75tot_250</t>
  </si>
  <si>
    <t>N-stabu1_250</t>
  </si>
  <si>
    <t>N-stabu2_250</t>
  </si>
  <si>
    <t>N-stabu3_250</t>
  </si>
  <si>
    <t>N-t59b11xx_250</t>
  </si>
  <si>
    <t>N-t59d11xx_250</t>
  </si>
  <si>
    <t>N-t59f11xx_250</t>
  </si>
  <si>
    <t>N-t59n11xx_250</t>
  </si>
  <si>
    <t>N-t65b11xx_250</t>
  </si>
  <si>
    <t>N-t65d11xx_250</t>
  </si>
  <si>
    <t>N-t65f11xx_250</t>
  </si>
  <si>
    <t>N-t65l11xx_250</t>
  </si>
  <si>
    <t>N-t65n11xx_250</t>
  </si>
  <si>
    <t>N-t69r11xx_250</t>
  </si>
  <si>
    <t>N-t70b11xx_250</t>
  </si>
  <si>
    <t>N-t70d11xn_250</t>
  </si>
  <si>
    <t>N-t70d11xx_250</t>
  </si>
  <si>
    <t>N-t70f11xx_250</t>
  </si>
  <si>
    <t>N-t70l11xx_250</t>
  </si>
  <si>
    <t>N-t70n11xx_250</t>
  </si>
  <si>
    <t>N-t74d11xx_250</t>
  </si>
  <si>
    <t>N-t75d11xx_250</t>
  </si>
  <si>
    <t>N-t75e11xx_250</t>
  </si>
  <si>
    <t>N-t75k11xx_250</t>
  </si>
  <si>
    <t>N-t75n11xx_250</t>
  </si>
  <si>
    <t>N-tiw56n54_250</t>
  </si>
  <si>
    <t>N-tiw56n58_250</t>
  </si>
  <si>
    <t>N-tiw56n62_250</t>
  </si>
  <si>
    <t>N-tiw56n66_250</t>
  </si>
  <si>
    <t>N-tiw56n67_250</t>
  </si>
  <si>
    <t>N-tiw56n72_250</t>
  </si>
  <si>
    <t>N-tiw56r54_250</t>
  </si>
  <si>
    <t>N-tiw56r58_250</t>
  </si>
  <si>
    <t>N-tiw56r66_250</t>
  </si>
  <si>
    <t>N-tiw56r67_250</t>
  </si>
  <si>
    <t>N-tiw56r72_250</t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</si>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</sst>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40BE-D033-46C9-83FF-4F62CDAE2F8C}">
  <dimension ref="A1:Q42"/>
  <sheetViews>
    <sheetView tabSelected="1" workbookViewId="0">
      <selection activeCell="O3" sqref="O3:P41"/>
    </sheetView>
  </sheetViews>
  <sheetFormatPr defaultRowHeight="18.75" x14ac:dyDescent="0.4"/>
  <cols>
    <col min="1" max="1" width="15.375" customWidth="1"/>
    <col min="2" max="2" width="12.625" customWidth="1"/>
    <col min="12" max="12" width="12.375" customWidth="1"/>
  </cols>
  <sheetData>
    <row r="1" spans="1:17" x14ac:dyDescent="0.4"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 x14ac:dyDescent="0.4"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</row>
    <row r="3" spans="1:17" x14ac:dyDescent="0.4">
      <c r="A3" t="s">
        <v>9</v>
      </c>
      <c r="B3">
        <v>8892995</v>
      </c>
      <c r="C3">
        <v>8.6011886596679601E-3</v>
      </c>
      <c r="D3">
        <v>8175278</v>
      </c>
      <c r="E3">
        <f t="shared" ref="E3:E41" si="0">($B3-D3)/$B3*100</f>
        <v>8.0705881426898358</v>
      </c>
      <c r="F3">
        <v>1.6932487487792899E-3</v>
      </c>
      <c r="G3">
        <v>7257082</v>
      </c>
      <c r="H3">
        <f t="shared" ref="H3:H41" si="1">($B3-G3)/$B3*100</f>
        <v>18.395523667785714</v>
      </c>
      <c r="I3" s="1">
        <v>14.642876148223801</v>
      </c>
      <c r="J3">
        <v>8163194</v>
      </c>
      <c r="K3">
        <f t="shared" ref="K3:K41" si="2">($B3-J3)/$B3*100</f>
        <v>8.2064703735917988</v>
      </c>
      <c r="L3" s="1">
        <v>16.822890758514401</v>
      </c>
      <c r="M3">
        <v>8300736</v>
      </c>
      <c r="N3">
        <f t="shared" ref="N3:N41" si="3">($B3-M3)/$B3*100</f>
        <v>6.6598373213973465</v>
      </c>
      <c r="O3" s="1">
        <v>0.84372067451476995</v>
      </c>
      <c r="P3">
        <v>8410950</v>
      </c>
      <c r="Q3">
        <f t="shared" ref="Q3:Q41" si="4">($B3-P3)/$B3*100</f>
        <v>5.4205023167110742</v>
      </c>
    </row>
    <row r="4" spans="1:17" x14ac:dyDescent="0.4">
      <c r="A4" t="s">
        <v>10</v>
      </c>
      <c r="B4">
        <v>17822571</v>
      </c>
      <c r="C4">
        <v>8.9278221130371094E-3</v>
      </c>
      <c r="D4">
        <v>16588283</v>
      </c>
      <c r="E4">
        <f t="shared" si="0"/>
        <v>6.9254205804538529</v>
      </c>
      <c r="F4">
        <v>1.87301635742187E-3</v>
      </c>
      <c r="G4">
        <v>15021467</v>
      </c>
      <c r="H4">
        <f t="shared" si="1"/>
        <v>15.716610134418879</v>
      </c>
      <c r="I4" s="1">
        <v>28.1132824420928</v>
      </c>
      <c r="J4">
        <v>16138553</v>
      </c>
      <c r="K4">
        <f t="shared" si="2"/>
        <v>9.4487938917454724</v>
      </c>
      <c r="L4" s="1">
        <v>19.365806579589801</v>
      </c>
      <c r="M4">
        <v>16581706</v>
      </c>
      <c r="N4">
        <f t="shared" si="3"/>
        <v>6.9623232248590847</v>
      </c>
      <c r="O4" s="1">
        <v>0.97849154472350997</v>
      </c>
      <c r="P4">
        <v>16827468</v>
      </c>
      <c r="Q4">
        <f t="shared" si="4"/>
        <v>5.5833863700136188</v>
      </c>
    </row>
    <row r="5" spans="1:17" x14ac:dyDescent="0.4">
      <c r="A5" t="s">
        <v>11</v>
      </c>
      <c r="B5">
        <v>5912445</v>
      </c>
      <c r="C5">
        <v>7.9677104949951102E-3</v>
      </c>
      <c r="D5">
        <v>5439216</v>
      </c>
      <c r="E5">
        <f t="shared" si="0"/>
        <v>8.0039476054322698</v>
      </c>
      <c r="F5">
        <v>1.2900829315185499E-3</v>
      </c>
      <c r="G5">
        <v>4923992</v>
      </c>
      <c r="H5">
        <f t="shared" si="1"/>
        <v>16.718176659571462</v>
      </c>
      <c r="I5" s="1">
        <v>7.3809049129486004</v>
      </c>
      <c r="J5">
        <v>5611779</v>
      </c>
      <c r="K5">
        <f t="shared" si="2"/>
        <v>5.0853073474679258</v>
      </c>
      <c r="L5" s="1">
        <v>14.9032292366027</v>
      </c>
      <c r="M5">
        <v>5674582</v>
      </c>
      <c r="N5">
        <f t="shared" si="3"/>
        <v>4.0230902782182332</v>
      </c>
      <c r="O5" s="1">
        <v>0.91411066055297796</v>
      </c>
      <c r="P5">
        <v>5555187</v>
      </c>
      <c r="Q5">
        <f t="shared" si="4"/>
        <v>6.0424748137191973</v>
      </c>
    </row>
    <row r="6" spans="1:17" x14ac:dyDescent="0.4">
      <c r="A6" t="s">
        <v>12</v>
      </c>
      <c r="B6">
        <v>30998382</v>
      </c>
      <c r="C6">
        <v>8.8300704956054601E-3</v>
      </c>
      <c r="D6">
        <v>28597919</v>
      </c>
      <c r="E6">
        <f t="shared" si="0"/>
        <v>7.7438332103914318</v>
      </c>
      <c r="F6">
        <v>1.8198490142822201E-3</v>
      </c>
      <c r="G6">
        <v>26184597</v>
      </c>
      <c r="H6">
        <f t="shared" si="1"/>
        <v>15.529149231079224</v>
      </c>
      <c r="I6" s="1">
        <v>38.931341409683199</v>
      </c>
      <c r="J6">
        <v>28145376</v>
      </c>
      <c r="K6">
        <f t="shared" si="2"/>
        <v>9.2037255363844483</v>
      </c>
      <c r="L6" s="1">
        <v>21.2387692928314</v>
      </c>
      <c r="M6">
        <v>28703691</v>
      </c>
      <c r="N6">
        <f t="shared" si="3"/>
        <v>7.4026154010231897</v>
      </c>
      <c r="O6">
        <v>0.99885439872741699</v>
      </c>
      <c r="P6">
        <v>29384607</v>
      </c>
      <c r="Q6">
        <f t="shared" si="4"/>
        <v>5.2059975259353859</v>
      </c>
    </row>
    <row r="7" spans="1:17" x14ac:dyDescent="0.4">
      <c r="A7" t="s">
        <v>13</v>
      </c>
      <c r="B7">
        <v>7747599</v>
      </c>
      <c r="C7">
        <v>8.5122585296630807E-3</v>
      </c>
      <c r="D7">
        <v>7094637</v>
      </c>
      <c r="E7">
        <f t="shared" si="0"/>
        <v>8.4279271552386756</v>
      </c>
      <c r="F7">
        <v>1.7335414886474601E-3</v>
      </c>
      <c r="G7">
        <v>6515583</v>
      </c>
      <c r="H7">
        <f t="shared" si="1"/>
        <v>15.901907158591971</v>
      </c>
      <c r="I7" s="1">
        <v>17.382042407989498</v>
      </c>
      <c r="J7">
        <v>6964325</v>
      </c>
      <c r="K7">
        <f t="shared" si="2"/>
        <v>10.109893400523182</v>
      </c>
      <c r="L7" s="1">
        <v>20.448591709136899</v>
      </c>
      <c r="M7">
        <v>7248553</v>
      </c>
      <c r="N7">
        <f t="shared" si="3"/>
        <v>6.4412987817257958</v>
      </c>
      <c r="O7">
        <v>0.89668631553649902</v>
      </c>
      <c r="P7">
        <v>7362918</v>
      </c>
      <c r="Q7">
        <f t="shared" si="4"/>
        <v>4.9651640463064748</v>
      </c>
    </row>
    <row r="8" spans="1:17" x14ac:dyDescent="0.4">
      <c r="A8" t="s">
        <v>14</v>
      </c>
      <c r="B8">
        <v>11516097</v>
      </c>
      <c r="C8">
        <v>8.5434913635253906E-3</v>
      </c>
      <c r="D8">
        <v>10632724</v>
      </c>
      <c r="E8">
        <f t="shared" si="0"/>
        <v>7.6707672747112152</v>
      </c>
      <c r="F8">
        <v>1.8224716186523401E-3</v>
      </c>
      <c r="G8">
        <v>9704344</v>
      </c>
      <c r="H8">
        <f t="shared" si="1"/>
        <v>15.73235272332284</v>
      </c>
      <c r="I8" s="1">
        <v>22.431414842605498</v>
      </c>
      <c r="J8">
        <v>10470974</v>
      </c>
      <c r="K8">
        <f t="shared" si="2"/>
        <v>9.0753230022289682</v>
      </c>
      <c r="L8" s="1">
        <v>20.557318925857501</v>
      </c>
      <c r="M8">
        <v>10761079</v>
      </c>
      <c r="N8">
        <f t="shared" si="3"/>
        <v>6.5561969476290454</v>
      </c>
      <c r="O8" s="1">
        <v>1.02801609039306</v>
      </c>
      <c r="P8">
        <v>10915703</v>
      </c>
      <c r="Q8">
        <f t="shared" si="4"/>
        <v>5.2135198235999578</v>
      </c>
    </row>
    <row r="9" spans="1:17" x14ac:dyDescent="0.4">
      <c r="A9" t="s">
        <v>15</v>
      </c>
      <c r="B9">
        <v>11909920</v>
      </c>
      <c r="C9">
        <v>8.6562633514404297E-3</v>
      </c>
      <c r="D9">
        <v>10901007</v>
      </c>
      <c r="E9">
        <f t="shared" si="0"/>
        <v>8.4711987989843767</v>
      </c>
      <c r="F9">
        <v>1.81055068969726E-3</v>
      </c>
      <c r="G9">
        <v>9968359</v>
      </c>
      <c r="H9">
        <f t="shared" si="1"/>
        <v>16.302049048188401</v>
      </c>
      <c r="I9" s="1">
        <v>22.7737777233123</v>
      </c>
      <c r="J9">
        <v>10966339</v>
      </c>
      <c r="K9">
        <f t="shared" si="2"/>
        <v>7.9226476752152832</v>
      </c>
      <c r="L9" s="1">
        <v>20.192918539047199</v>
      </c>
      <c r="M9">
        <v>11154758</v>
      </c>
      <c r="N9">
        <f t="shared" si="3"/>
        <v>6.3406135389658367</v>
      </c>
      <c r="O9" s="1">
        <v>1.0849525928497299</v>
      </c>
      <c r="P9">
        <v>11317966</v>
      </c>
      <c r="Q9">
        <f t="shared" si="4"/>
        <v>4.9702600857100636</v>
      </c>
    </row>
    <row r="10" spans="1:17" x14ac:dyDescent="0.4">
      <c r="A10" t="s">
        <v>16</v>
      </c>
      <c r="B10">
        <v>8411760</v>
      </c>
      <c r="C10">
        <v>8.4526538848876901E-3</v>
      </c>
      <c r="D10">
        <v>7750570</v>
      </c>
      <c r="E10">
        <f t="shared" si="0"/>
        <v>7.8603050966741801</v>
      </c>
      <c r="F10">
        <v>1.77240371704101E-3</v>
      </c>
      <c r="G10">
        <v>6962440</v>
      </c>
      <c r="H10">
        <f t="shared" si="1"/>
        <v>17.229687960664595</v>
      </c>
      <c r="I10" s="1">
        <v>4.4130549430847097</v>
      </c>
      <c r="J10">
        <v>7584170</v>
      </c>
      <c r="K10">
        <f t="shared" si="2"/>
        <v>9.8384880215317612</v>
      </c>
      <c r="L10" s="1">
        <v>13.8584868907928</v>
      </c>
      <c r="M10">
        <v>7773895</v>
      </c>
      <c r="N10">
        <f t="shared" si="3"/>
        <v>7.5830147317564931</v>
      </c>
      <c r="O10" s="1">
        <v>1.2218379974365201</v>
      </c>
      <c r="P10">
        <v>7914345</v>
      </c>
      <c r="Q10">
        <f t="shared" si="4"/>
        <v>5.9133284829809698</v>
      </c>
    </row>
    <row r="11" spans="1:17" x14ac:dyDescent="0.4">
      <c r="A11" t="s">
        <v>17</v>
      </c>
      <c r="B11">
        <v>3843003</v>
      </c>
      <c r="C11">
        <v>8.1503391265869106E-3</v>
      </c>
      <c r="D11">
        <v>3507148</v>
      </c>
      <c r="E11">
        <f t="shared" si="0"/>
        <v>8.739389482651978</v>
      </c>
      <c r="F11">
        <v>1.5115737915039E-3</v>
      </c>
      <c r="G11">
        <v>3238386</v>
      </c>
      <c r="H11">
        <f t="shared" si="1"/>
        <v>15.73293073151387</v>
      </c>
      <c r="I11" s="1">
        <v>11.1312432289123</v>
      </c>
      <c r="J11">
        <v>3407658</v>
      </c>
      <c r="K11">
        <f t="shared" si="2"/>
        <v>11.328250329234715</v>
      </c>
      <c r="L11" s="1">
        <v>15.5173082351684</v>
      </c>
      <c r="M11">
        <v>3550591</v>
      </c>
      <c r="N11">
        <f t="shared" si="3"/>
        <v>7.6089454002507937</v>
      </c>
      <c r="O11">
        <v>0.96538591384887695</v>
      </c>
      <c r="P11">
        <v>3643420</v>
      </c>
      <c r="Q11">
        <f t="shared" si="4"/>
        <v>5.1934125474271031</v>
      </c>
    </row>
    <row r="12" spans="1:17" x14ac:dyDescent="0.4">
      <c r="A12" t="s">
        <v>18</v>
      </c>
      <c r="B12">
        <v>3995868</v>
      </c>
      <c r="C12">
        <v>8.0583095550537092E-3</v>
      </c>
      <c r="D12">
        <v>3677885</v>
      </c>
      <c r="E12">
        <f t="shared" si="0"/>
        <v>7.9577954026509383</v>
      </c>
      <c r="F12">
        <v>1.4355182647705E-3</v>
      </c>
      <c r="G12">
        <v>3275329</v>
      </c>
      <c r="H12">
        <f t="shared" si="1"/>
        <v>18.032102161532865</v>
      </c>
      <c r="I12" s="1">
        <v>10.446739196777299</v>
      </c>
      <c r="J12">
        <v>3565508</v>
      </c>
      <c r="K12">
        <f t="shared" si="2"/>
        <v>10.770125539682491</v>
      </c>
      <c r="L12" s="1">
        <v>14.347106456756499</v>
      </c>
      <c r="M12">
        <v>3701505</v>
      </c>
      <c r="N12">
        <f t="shared" si="3"/>
        <v>7.3666847853833008</v>
      </c>
      <c r="O12" s="1">
        <v>1.18518733978271</v>
      </c>
      <c r="P12">
        <v>3794157</v>
      </c>
      <c r="Q12">
        <f t="shared" si="4"/>
        <v>5.0479895732291462</v>
      </c>
    </row>
    <row r="13" spans="1:17" x14ac:dyDescent="0.4">
      <c r="A13" t="s">
        <v>19</v>
      </c>
      <c r="B13">
        <v>825023</v>
      </c>
      <c r="C13">
        <v>7.91168212890625E-3</v>
      </c>
      <c r="D13">
        <v>762498</v>
      </c>
      <c r="E13">
        <f t="shared" si="0"/>
        <v>7.5785765972585004</v>
      </c>
      <c r="F13">
        <v>1.2261867523193301E-3</v>
      </c>
      <c r="G13">
        <v>673444</v>
      </c>
      <c r="H13">
        <f t="shared" si="1"/>
        <v>18.372699912608496</v>
      </c>
      <c r="I13" s="1">
        <v>3.38691210746765</v>
      </c>
      <c r="J13">
        <v>746069</v>
      </c>
      <c r="K13">
        <f t="shared" si="2"/>
        <v>9.5699150205509422</v>
      </c>
      <c r="L13" s="1">
        <v>14.8605074882507</v>
      </c>
      <c r="M13">
        <v>766248</v>
      </c>
      <c r="N13">
        <f t="shared" si="3"/>
        <v>7.1240438145360798</v>
      </c>
      <c r="O13" s="1">
        <v>1.42526030540466</v>
      </c>
      <c r="P13">
        <v>778519</v>
      </c>
      <c r="Q13">
        <f t="shared" si="4"/>
        <v>5.6366913407262587</v>
      </c>
    </row>
    <row r="14" spans="1:17" x14ac:dyDescent="0.4">
      <c r="A14" t="s">
        <v>20</v>
      </c>
      <c r="B14">
        <v>17275227</v>
      </c>
      <c r="C14">
        <v>8.4309577941894497E-3</v>
      </c>
      <c r="D14">
        <v>16056735</v>
      </c>
      <c r="E14">
        <f t="shared" si="0"/>
        <v>7.0534065919944213</v>
      </c>
      <c r="F14">
        <v>1.7945766448974601E-3</v>
      </c>
      <c r="G14">
        <v>14074002</v>
      </c>
      <c r="H14">
        <f t="shared" si="1"/>
        <v>18.530726108548386</v>
      </c>
      <c r="I14" s="1">
        <v>23.009763479232699</v>
      </c>
      <c r="J14">
        <v>15617788</v>
      </c>
      <c r="K14">
        <f t="shared" si="2"/>
        <v>9.5943109749006474</v>
      </c>
      <c r="L14" s="1">
        <v>19.062362670898398</v>
      </c>
      <c r="M14">
        <v>16045871</v>
      </c>
      <c r="N14">
        <f t="shared" si="3"/>
        <v>7.1162943329196189</v>
      </c>
      <c r="O14" s="1">
        <v>0.90068149566650302</v>
      </c>
      <c r="P14">
        <v>16333032</v>
      </c>
      <c r="Q14">
        <f t="shared" si="4"/>
        <v>5.4540238458226922</v>
      </c>
    </row>
    <row r="15" spans="1:17" x14ac:dyDescent="0.4">
      <c r="A15" t="s">
        <v>21</v>
      </c>
      <c r="B15">
        <v>9353593</v>
      </c>
      <c r="C15">
        <v>8.4469318389892491E-3</v>
      </c>
      <c r="D15">
        <v>8606691</v>
      </c>
      <c r="E15">
        <f t="shared" si="0"/>
        <v>7.9851881517615739</v>
      </c>
      <c r="F15">
        <v>1.6527175903320299E-3</v>
      </c>
      <c r="G15">
        <v>7784031</v>
      </c>
      <c r="H15">
        <f t="shared" si="1"/>
        <v>16.780311052661794</v>
      </c>
      <c r="I15" s="1">
        <v>20.256540060043299</v>
      </c>
      <c r="J15">
        <v>8375294</v>
      </c>
      <c r="K15">
        <f t="shared" si="2"/>
        <v>10.459071717146555</v>
      </c>
      <c r="L15" s="1">
        <v>18.737395048141401</v>
      </c>
      <c r="M15">
        <v>8591719</v>
      </c>
      <c r="N15">
        <f t="shared" si="3"/>
        <v>8.1452549838334853</v>
      </c>
      <c r="O15" s="1">
        <v>0.80831098556518499</v>
      </c>
      <c r="P15">
        <v>8831398</v>
      </c>
      <c r="Q15">
        <f t="shared" si="4"/>
        <v>5.5828279036729525</v>
      </c>
    </row>
    <row r="16" spans="1:17" x14ac:dyDescent="0.4">
      <c r="A16" t="s">
        <v>22</v>
      </c>
      <c r="B16">
        <v>8417742</v>
      </c>
      <c r="C16">
        <v>8.2736015319824201E-3</v>
      </c>
      <c r="D16">
        <v>7840752</v>
      </c>
      <c r="E16">
        <f t="shared" si="0"/>
        <v>6.8544509917267602</v>
      </c>
      <c r="F16">
        <v>1.7194747924804601E-3</v>
      </c>
      <c r="G16">
        <v>7049424</v>
      </c>
      <c r="H16">
        <f t="shared" si="1"/>
        <v>16.25516676562432</v>
      </c>
      <c r="I16" s="1">
        <v>18.181135177612301</v>
      </c>
      <c r="J16">
        <v>7537536</v>
      </c>
      <c r="K16">
        <f t="shared" si="2"/>
        <v>10.45655711472269</v>
      </c>
      <c r="L16" s="1">
        <v>18.707263231277398</v>
      </c>
      <c r="M16">
        <v>7817306</v>
      </c>
      <c r="N16">
        <f t="shared" si="3"/>
        <v>7.1329817426098359</v>
      </c>
      <c r="O16" s="1">
        <v>1.3856937885284399</v>
      </c>
      <c r="P16">
        <v>7999028</v>
      </c>
      <c r="Q16">
        <f t="shared" si="4"/>
        <v>4.9741842883756711</v>
      </c>
    </row>
    <row r="17" spans="1:17" x14ac:dyDescent="0.4">
      <c r="A17" t="s">
        <v>23</v>
      </c>
      <c r="B17">
        <v>666915</v>
      </c>
      <c r="C17">
        <v>7.5821876525878898E-3</v>
      </c>
      <c r="D17">
        <v>615361</v>
      </c>
      <c r="E17">
        <f t="shared" si="0"/>
        <v>7.7302204928664073</v>
      </c>
      <c r="F17">
        <v>1.084566116333E-3</v>
      </c>
      <c r="G17">
        <v>537075</v>
      </c>
      <c r="H17">
        <f t="shared" si="1"/>
        <v>19.468747891410448</v>
      </c>
      <c r="I17" s="1">
        <v>1.7644236087798999</v>
      </c>
      <c r="J17">
        <v>617530</v>
      </c>
      <c r="K17">
        <f t="shared" si="2"/>
        <v>7.4049916406138712</v>
      </c>
      <c r="L17" s="1">
        <v>8.3724241256713796</v>
      </c>
      <c r="M17">
        <v>623116</v>
      </c>
      <c r="N17">
        <f t="shared" si="3"/>
        <v>6.5674036421433017</v>
      </c>
      <c r="O17" s="1">
        <v>0.82576704025268499</v>
      </c>
      <c r="P17">
        <v>627654</v>
      </c>
      <c r="Q17">
        <f t="shared" si="4"/>
        <v>5.886957108477092</v>
      </c>
    </row>
    <row r="18" spans="1:17" x14ac:dyDescent="0.4">
      <c r="A18" t="s">
        <v>24</v>
      </c>
      <c r="B18">
        <v>1430863</v>
      </c>
      <c r="C18">
        <v>8.3556175231933594E-3</v>
      </c>
      <c r="D18">
        <v>1328423</v>
      </c>
      <c r="E18">
        <f t="shared" si="0"/>
        <v>7.1593157416188689</v>
      </c>
      <c r="F18">
        <v>1.38735771179199E-3</v>
      </c>
      <c r="G18">
        <v>1173385</v>
      </c>
      <c r="H18">
        <f t="shared" si="1"/>
        <v>17.994594870368442</v>
      </c>
      <c r="I18" s="1">
        <v>4.5590972900390598</v>
      </c>
      <c r="J18">
        <v>1297192</v>
      </c>
      <c r="K18">
        <f t="shared" si="2"/>
        <v>9.3419845226272535</v>
      </c>
      <c r="L18" s="1">
        <v>17.143539667129499</v>
      </c>
      <c r="M18">
        <v>1324087</v>
      </c>
      <c r="N18">
        <f t="shared" si="3"/>
        <v>7.4623496449345597</v>
      </c>
      <c r="O18" s="1">
        <v>0.86732673645019498</v>
      </c>
      <c r="P18">
        <v>1345561</v>
      </c>
      <c r="Q18">
        <f t="shared" si="4"/>
        <v>5.9615770342793128</v>
      </c>
    </row>
    <row r="19" spans="1:17" x14ac:dyDescent="0.4">
      <c r="A19" t="s">
        <v>25</v>
      </c>
      <c r="B19">
        <v>31822418</v>
      </c>
      <c r="C19">
        <v>8.25858116149902E-3</v>
      </c>
      <c r="D19">
        <v>29257455</v>
      </c>
      <c r="E19">
        <f t="shared" si="0"/>
        <v>8.0602391685006456</v>
      </c>
      <c r="F19">
        <v>1.66678428649902E-3</v>
      </c>
      <c r="G19">
        <v>25628013</v>
      </c>
      <c r="H19">
        <f t="shared" si="1"/>
        <v>19.465538413831407</v>
      </c>
      <c r="I19" s="1">
        <v>28.6361372470855</v>
      </c>
      <c r="J19">
        <v>29251099</v>
      </c>
      <c r="K19">
        <f t="shared" si="2"/>
        <v>8.0802125093071187</v>
      </c>
      <c r="L19" s="1">
        <v>16.727965593337998</v>
      </c>
      <c r="M19">
        <v>29438230</v>
      </c>
      <c r="N19">
        <f t="shared" si="3"/>
        <v>7.4921648002989585</v>
      </c>
      <c r="O19" s="1">
        <v>0.90010380744934004</v>
      </c>
      <c r="P19">
        <v>29781193</v>
      </c>
      <c r="Q19">
        <f t="shared" si="4"/>
        <v>6.414424573267814</v>
      </c>
    </row>
    <row r="20" spans="1:17" x14ac:dyDescent="0.4">
      <c r="A20" t="s">
        <v>26</v>
      </c>
      <c r="B20">
        <v>25416607</v>
      </c>
      <c r="C20">
        <v>8.4311962127685495E-3</v>
      </c>
      <c r="D20">
        <v>23599688</v>
      </c>
      <c r="E20">
        <f t="shared" si="0"/>
        <v>7.1485505520071975</v>
      </c>
      <c r="F20">
        <v>1.7118453979492101E-3</v>
      </c>
      <c r="G20">
        <v>20939499</v>
      </c>
      <c r="H20">
        <f t="shared" si="1"/>
        <v>17.614892499223046</v>
      </c>
      <c r="I20" s="1">
        <v>29.039440155029201</v>
      </c>
      <c r="J20">
        <v>23118263</v>
      </c>
      <c r="K20">
        <f t="shared" si="2"/>
        <v>9.0426861461091157</v>
      </c>
      <c r="L20" s="1">
        <v>18.050970315933199</v>
      </c>
      <c r="M20">
        <v>23529899</v>
      </c>
      <c r="N20">
        <f t="shared" si="3"/>
        <v>7.4231308687268918</v>
      </c>
      <c r="O20" s="1">
        <v>0.88200664520263605</v>
      </c>
      <c r="P20">
        <v>24015692</v>
      </c>
      <c r="Q20">
        <f t="shared" si="4"/>
        <v>5.5118096605105471</v>
      </c>
    </row>
    <row r="21" spans="1:17" x14ac:dyDescent="0.4">
      <c r="A21" t="s">
        <v>27</v>
      </c>
      <c r="B21">
        <v>15211056</v>
      </c>
      <c r="C21">
        <v>8.5895061492919905E-3</v>
      </c>
      <c r="D21">
        <v>14021864</v>
      </c>
      <c r="E21">
        <f t="shared" si="0"/>
        <v>7.8179450525985832</v>
      </c>
      <c r="F21">
        <v>1.8177032470703099E-3</v>
      </c>
      <c r="G21">
        <v>12759127</v>
      </c>
      <c r="H21">
        <f t="shared" si="1"/>
        <v>16.119387108955486</v>
      </c>
      <c r="I21" s="1">
        <v>30.327252388000399</v>
      </c>
      <c r="J21">
        <v>13607178</v>
      </c>
      <c r="K21">
        <f t="shared" si="2"/>
        <v>10.544159458751581</v>
      </c>
      <c r="L21" s="1">
        <v>20.6788954734802</v>
      </c>
      <c r="M21">
        <v>14093157</v>
      </c>
      <c r="N21">
        <f t="shared" si="3"/>
        <v>7.3492530696093681</v>
      </c>
      <c r="O21" s="1">
        <v>1.50437235832214</v>
      </c>
      <c r="P21">
        <v>14538679</v>
      </c>
      <c r="Q21">
        <f t="shared" si="4"/>
        <v>4.4203176952343082</v>
      </c>
    </row>
    <row r="22" spans="1:17" x14ac:dyDescent="0.4">
      <c r="A22" t="s">
        <v>28</v>
      </c>
      <c r="B22">
        <v>16043251</v>
      </c>
      <c r="C22">
        <v>8.4939002990722604E-3</v>
      </c>
      <c r="D22">
        <v>14782332</v>
      </c>
      <c r="E22">
        <f t="shared" si="0"/>
        <v>7.8594980531065683</v>
      </c>
      <c r="F22">
        <v>1.8026828765869099E-3</v>
      </c>
      <c r="G22">
        <v>13454329</v>
      </c>
      <c r="H22">
        <f t="shared" si="1"/>
        <v>16.137140782750329</v>
      </c>
      <c r="I22" s="1">
        <v>29.686108350753699</v>
      </c>
      <c r="J22">
        <v>14374314</v>
      </c>
      <c r="K22">
        <f t="shared" si="2"/>
        <v>10.402735704876774</v>
      </c>
      <c r="L22" s="1">
        <v>20.911308288574201</v>
      </c>
      <c r="M22">
        <v>14740946</v>
      </c>
      <c r="N22">
        <f t="shared" si="3"/>
        <v>8.1174632248787972</v>
      </c>
      <c r="O22" s="1">
        <v>0.92673110961913996</v>
      </c>
      <c r="P22">
        <v>15200220</v>
      </c>
      <c r="Q22">
        <f t="shared" si="4"/>
        <v>5.2547392046661869</v>
      </c>
    </row>
    <row r="23" spans="1:17" x14ac:dyDescent="0.4">
      <c r="A23" t="s">
        <v>29</v>
      </c>
      <c r="B23">
        <v>13598786</v>
      </c>
      <c r="C23">
        <v>8.3880424499511701E-3</v>
      </c>
      <c r="D23">
        <v>12584636</v>
      </c>
      <c r="E23">
        <f t="shared" si="0"/>
        <v>7.4576509991406583</v>
      </c>
      <c r="F23">
        <v>1.80840492248535E-3</v>
      </c>
      <c r="G23">
        <v>11427309</v>
      </c>
      <c r="H23">
        <f t="shared" si="1"/>
        <v>15.968168040882471</v>
      </c>
      <c r="I23" s="1">
        <v>25.491134166717501</v>
      </c>
      <c r="J23">
        <v>12257999</v>
      </c>
      <c r="K23">
        <f t="shared" si="2"/>
        <v>9.859608056189721</v>
      </c>
      <c r="L23" s="1">
        <v>18.449367523193299</v>
      </c>
      <c r="M23">
        <v>12493049</v>
      </c>
      <c r="N23">
        <f t="shared" si="3"/>
        <v>8.1311449419087864</v>
      </c>
      <c r="O23" s="1">
        <v>1.14761185646057</v>
      </c>
      <c r="P23">
        <v>12855705</v>
      </c>
      <c r="Q23">
        <f t="shared" si="4"/>
        <v>5.4643186531503618</v>
      </c>
    </row>
    <row r="24" spans="1:17" x14ac:dyDescent="0.4">
      <c r="A24" t="s">
        <v>30</v>
      </c>
      <c r="B24">
        <v>1114166</v>
      </c>
      <c r="C24">
        <v>7.8639984130859306E-3</v>
      </c>
      <c r="D24">
        <v>1030885</v>
      </c>
      <c r="E24">
        <f t="shared" si="0"/>
        <v>7.4747389527233823</v>
      </c>
      <c r="F24">
        <v>1.76835060119628E-3</v>
      </c>
      <c r="G24">
        <v>901234</v>
      </c>
      <c r="H24">
        <f t="shared" si="1"/>
        <v>19.111335294740638</v>
      </c>
      <c r="I24" s="1">
        <v>2.5652773380279501</v>
      </c>
      <c r="J24">
        <v>1022386</v>
      </c>
      <c r="K24">
        <f t="shared" si="2"/>
        <v>8.2375516754235907</v>
      </c>
      <c r="L24">
        <v>9.9364864826202393</v>
      </c>
      <c r="M24">
        <v>1035691</v>
      </c>
      <c r="N24">
        <f t="shared" si="3"/>
        <v>7.0433849175078045</v>
      </c>
      <c r="O24" s="1">
        <v>0.847062587738037</v>
      </c>
      <c r="P24">
        <v>1045466</v>
      </c>
      <c r="Q24">
        <f t="shared" si="4"/>
        <v>6.1660470701852326</v>
      </c>
    </row>
    <row r="25" spans="1:17" x14ac:dyDescent="0.4">
      <c r="A25" t="s">
        <v>31</v>
      </c>
      <c r="B25">
        <v>2445125</v>
      </c>
      <c r="C25">
        <v>8.1870555877685495E-3</v>
      </c>
      <c r="D25">
        <v>2287496</v>
      </c>
      <c r="E25">
        <f t="shared" si="0"/>
        <v>6.446664280967231</v>
      </c>
      <c r="F25">
        <v>2.0091533660888598E-3</v>
      </c>
      <c r="G25">
        <v>2018454</v>
      </c>
      <c r="H25">
        <f t="shared" si="1"/>
        <v>17.449864526353458</v>
      </c>
      <c r="I25" s="1">
        <v>7.2434132099151602</v>
      </c>
      <c r="J25">
        <v>2217274</v>
      </c>
      <c r="K25">
        <f t="shared" si="2"/>
        <v>9.3185828945350444</v>
      </c>
      <c r="L25" s="1">
        <v>18.912879228591901</v>
      </c>
      <c r="M25">
        <v>2233673</v>
      </c>
      <c r="N25">
        <f t="shared" si="3"/>
        <v>8.6479014365318747</v>
      </c>
      <c r="O25" s="1">
        <v>0.96689748764037997</v>
      </c>
      <c r="P25">
        <v>2290034</v>
      </c>
      <c r="Q25">
        <f t="shared" si="4"/>
        <v>6.3428659066509896</v>
      </c>
    </row>
    <row r="26" spans="1:17" x14ac:dyDescent="0.4">
      <c r="A26" t="s">
        <v>32</v>
      </c>
      <c r="B26">
        <v>24445112</v>
      </c>
      <c r="C26">
        <v>8.5854530334472604E-3</v>
      </c>
      <c r="D26">
        <v>22586802</v>
      </c>
      <c r="E26">
        <f t="shared" si="0"/>
        <v>7.6019696698464703</v>
      </c>
      <c r="F26">
        <v>1.8315315246582001E-3</v>
      </c>
      <c r="G26">
        <v>20612563</v>
      </c>
      <c r="H26">
        <f t="shared" si="1"/>
        <v>15.678181388573718</v>
      </c>
      <c r="I26" s="1">
        <v>39.648752689361501</v>
      </c>
      <c r="J26">
        <v>22028919</v>
      </c>
      <c r="K26">
        <f t="shared" si="2"/>
        <v>9.8841559817766438</v>
      </c>
      <c r="L26" s="1">
        <v>20.977806568145699</v>
      </c>
      <c r="M26">
        <v>22480885</v>
      </c>
      <c r="N26">
        <f t="shared" si="3"/>
        <v>8.0352546554092275</v>
      </c>
      <c r="O26" s="1">
        <v>1.21306180953979</v>
      </c>
      <c r="P26">
        <v>23288226</v>
      </c>
      <c r="Q26">
        <f t="shared" si="4"/>
        <v>4.7325862119183579</v>
      </c>
    </row>
    <row r="27" spans="1:17" x14ac:dyDescent="0.4">
      <c r="A27" t="s">
        <v>33</v>
      </c>
      <c r="B27">
        <v>25048727</v>
      </c>
      <c r="C27">
        <v>8.42642784118652E-3</v>
      </c>
      <c r="D27">
        <v>23146056</v>
      </c>
      <c r="E27">
        <f t="shared" si="0"/>
        <v>7.5958790241116851</v>
      </c>
      <c r="F27">
        <v>1.8534660339355399E-3</v>
      </c>
      <c r="G27">
        <v>21178762</v>
      </c>
      <c r="H27">
        <f t="shared" si="1"/>
        <v>15.449747206714337</v>
      </c>
      <c r="I27" s="1">
        <v>40.020806789398101</v>
      </c>
      <c r="J27">
        <v>22492783</v>
      </c>
      <c r="K27">
        <f t="shared" si="2"/>
        <v>10.203887806354391</v>
      </c>
      <c r="L27" s="1">
        <v>20.286342144012401</v>
      </c>
      <c r="M27">
        <v>23013591</v>
      </c>
      <c r="N27">
        <f t="shared" si="3"/>
        <v>8.1247082935591894</v>
      </c>
      <c r="O27" s="1">
        <v>0.98713111877441395</v>
      </c>
      <c r="P27">
        <v>23783354</v>
      </c>
      <c r="Q27">
        <f t="shared" si="4"/>
        <v>5.0516459379352892</v>
      </c>
    </row>
    <row r="28" spans="1:17" x14ac:dyDescent="0.4">
      <c r="A28" t="s">
        <v>34</v>
      </c>
      <c r="B28">
        <v>106912899</v>
      </c>
      <c r="C28">
        <v>8.5508823394775304E-3</v>
      </c>
      <c r="D28">
        <v>99116544</v>
      </c>
      <c r="E28">
        <f t="shared" si="0"/>
        <v>7.2922491793997652</v>
      </c>
      <c r="F28">
        <v>1.9710063934326098E-3</v>
      </c>
      <c r="G28">
        <v>88606587</v>
      </c>
      <c r="H28">
        <f t="shared" si="1"/>
        <v>17.122641113678903</v>
      </c>
      <c r="I28" s="1">
        <v>75.468374490737901</v>
      </c>
      <c r="J28">
        <v>96970111</v>
      </c>
      <c r="K28">
        <f t="shared" si="2"/>
        <v>9.2998956094156604</v>
      </c>
      <c r="L28" s="1">
        <v>20.7904324531555</v>
      </c>
      <c r="M28">
        <v>98643582</v>
      </c>
      <c r="N28">
        <f t="shared" si="3"/>
        <v>7.7346298504168329</v>
      </c>
      <c r="O28" s="1">
        <v>0.99996042251586903</v>
      </c>
      <c r="P28">
        <v>101011777</v>
      </c>
      <c r="Q28">
        <f t="shared" si="4"/>
        <v>5.5195603666120769</v>
      </c>
    </row>
    <row r="29" spans="1:17" x14ac:dyDescent="0.4">
      <c r="A29" t="s">
        <v>35</v>
      </c>
      <c r="B29">
        <v>4094732</v>
      </c>
      <c r="C29">
        <v>8.2345008850097604E-3</v>
      </c>
      <c r="D29">
        <v>3764661</v>
      </c>
      <c r="E29">
        <f t="shared" si="0"/>
        <v>8.0608694293057521</v>
      </c>
      <c r="F29">
        <v>1.54495239257812E-3</v>
      </c>
      <c r="G29">
        <v>3440847</v>
      </c>
      <c r="H29">
        <f t="shared" si="1"/>
        <v>15.968932765318952</v>
      </c>
      <c r="I29" s="1">
        <v>12.0483710765838</v>
      </c>
      <c r="J29">
        <v>3659386</v>
      </c>
      <c r="K29">
        <f t="shared" si="2"/>
        <v>10.631855760035089</v>
      </c>
      <c r="L29" s="1">
        <v>17.722275018691999</v>
      </c>
      <c r="M29">
        <v>3771678</v>
      </c>
      <c r="N29">
        <f t="shared" si="3"/>
        <v>7.8895029027540753</v>
      </c>
      <c r="O29" s="1">
        <v>1.11328077316284</v>
      </c>
      <c r="P29">
        <v>3900711</v>
      </c>
      <c r="Q29">
        <f t="shared" si="4"/>
        <v>4.7383076596954332</v>
      </c>
    </row>
    <row r="30" spans="1:17" x14ac:dyDescent="0.4">
      <c r="A30" t="s">
        <v>36</v>
      </c>
      <c r="B30">
        <v>4529853</v>
      </c>
      <c r="C30">
        <v>8.3551406860351493E-3</v>
      </c>
      <c r="D30">
        <v>4179793</v>
      </c>
      <c r="E30">
        <f t="shared" si="0"/>
        <v>7.7278445901003856</v>
      </c>
      <c r="F30">
        <v>1.4975070953369099E-3</v>
      </c>
      <c r="G30">
        <v>3769806</v>
      </c>
      <c r="H30">
        <f t="shared" si="1"/>
        <v>16.778623942101429</v>
      </c>
      <c r="I30" s="1">
        <v>10.3663852214813</v>
      </c>
      <c r="J30">
        <v>4132246</v>
      </c>
      <c r="K30">
        <f t="shared" si="2"/>
        <v>8.7774813001658103</v>
      </c>
      <c r="L30" s="1">
        <v>18.3614535331726</v>
      </c>
      <c r="M30">
        <v>4193343</v>
      </c>
      <c r="N30">
        <f t="shared" si="3"/>
        <v>7.4287178855472797</v>
      </c>
      <c r="O30" s="1">
        <v>1.2138547897338801</v>
      </c>
      <c r="P30">
        <v>4273062</v>
      </c>
      <c r="Q30">
        <f t="shared" si="4"/>
        <v>5.6688594530550995</v>
      </c>
    </row>
    <row r="31" spans="1:17" x14ac:dyDescent="0.4">
      <c r="A31" t="s">
        <v>37</v>
      </c>
      <c r="B31">
        <v>2099727</v>
      </c>
      <c r="C31">
        <v>7.9469680786132795E-3</v>
      </c>
      <c r="D31">
        <v>1924246</v>
      </c>
      <c r="E31">
        <f t="shared" si="0"/>
        <v>8.3573245474292612</v>
      </c>
      <c r="F31">
        <v>1.5618801116943301E-3</v>
      </c>
      <c r="G31">
        <v>1791528</v>
      </c>
      <c r="H31">
        <f t="shared" si="1"/>
        <v>14.678051003773348</v>
      </c>
      <c r="I31" s="1">
        <v>7.6845614910125697</v>
      </c>
      <c r="J31">
        <v>1919472</v>
      </c>
      <c r="K31">
        <f t="shared" si="2"/>
        <v>8.5846874379383618</v>
      </c>
      <c r="L31" s="1">
        <v>19.236865520477199</v>
      </c>
      <c r="M31">
        <v>1955737</v>
      </c>
      <c r="N31">
        <f t="shared" si="3"/>
        <v>6.8575581492260662</v>
      </c>
      <c r="O31" s="1">
        <v>1.03477263450622</v>
      </c>
      <c r="P31">
        <v>1993210</v>
      </c>
      <c r="Q31">
        <f t="shared" si="4"/>
        <v>5.0728975719224456</v>
      </c>
    </row>
    <row r="32" spans="1:17" x14ac:dyDescent="0.4">
      <c r="A32" t="s">
        <v>38</v>
      </c>
      <c r="B32">
        <v>2906751</v>
      </c>
      <c r="C32">
        <v>8.35013389587402E-3</v>
      </c>
      <c r="D32">
        <v>2672613</v>
      </c>
      <c r="E32">
        <f t="shared" si="0"/>
        <v>8.0549727169613092</v>
      </c>
      <c r="F32">
        <v>2.2420883178710898E-3</v>
      </c>
      <c r="G32">
        <v>2462688</v>
      </c>
      <c r="H32">
        <f t="shared" si="1"/>
        <v>15.276953547104654</v>
      </c>
      <c r="I32" s="1">
        <v>10.188790798187201</v>
      </c>
      <c r="J32">
        <v>2636882</v>
      </c>
      <c r="K32">
        <f t="shared" si="2"/>
        <v>9.2842145749670344</v>
      </c>
      <c r="L32" s="1">
        <v>19.2281060218811</v>
      </c>
      <c r="M32">
        <v>2706860</v>
      </c>
      <c r="N32">
        <f t="shared" si="3"/>
        <v>6.8767844235711975</v>
      </c>
      <c r="O32" s="1">
        <v>1.0740520954132</v>
      </c>
      <c r="P32">
        <v>2767614</v>
      </c>
      <c r="Q32">
        <f t="shared" si="4"/>
        <v>4.7866845147726798</v>
      </c>
    </row>
    <row r="33" spans="1:17" x14ac:dyDescent="0.4">
      <c r="A33" t="s">
        <v>39</v>
      </c>
      <c r="B33">
        <v>4145747</v>
      </c>
      <c r="C33">
        <v>8.4369182586669905E-3</v>
      </c>
      <c r="D33">
        <v>3827961</v>
      </c>
      <c r="E33">
        <f t="shared" si="0"/>
        <v>7.6653495739127342</v>
      </c>
      <c r="F33">
        <v>1.64151191711425E-3</v>
      </c>
      <c r="G33">
        <v>3522620</v>
      </c>
      <c r="H33">
        <f t="shared" si="1"/>
        <v>15.030511992169323</v>
      </c>
      <c r="I33" s="1">
        <v>13.460277795791599</v>
      </c>
      <c r="J33">
        <v>3735568</v>
      </c>
      <c r="K33">
        <f t="shared" si="2"/>
        <v>9.8939708573629801</v>
      </c>
      <c r="L33" s="1">
        <v>19.2951788902282</v>
      </c>
      <c r="M33">
        <v>3839257</v>
      </c>
      <c r="N33">
        <f t="shared" si="3"/>
        <v>7.3928775682645371</v>
      </c>
      <c r="O33" s="1">
        <v>1.1233210563659599</v>
      </c>
      <c r="P33">
        <v>3938670</v>
      </c>
      <c r="Q33">
        <f t="shared" si="4"/>
        <v>4.9949261254968045</v>
      </c>
    </row>
    <row r="34" spans="1:17" x14ac:dyDescent="0.4">
      <c r="A34" t="s">
        <v>40</v>
      </c>
      <c r="B34">
        <v>5371157</v>
      </c>
      <c r="C34">
        <v>8.9864730834960903E-3</v>
      </c>
      <c r="D34">
        <v>4947277</v>
      </c>
      <c r="E34">
        <f t="shared" si="0"/>
        <v>7.8917819754663663</v>
      </c>
      <c r="F34">
        <v>1.6088485717773401E-3</v>
      </c>
      <c r="G34">
        <v>4569481</v>
      </c>
      <c r="H34">
        <f t="shared" si="1"/>
        <v>14.925573763716086</v>
      </c>
      <c r="I34" s="1">
        <v>15.8905951976776</v>
      </c>
      <c r="J34">
        <v>4898870</v>
      </c>
      <c r="K34">
        <f t="shared" si="2"/>
        <v>8.7930216897402182</v>
      </c>
      <c r="L34" s="1">
        <v>19.577015638351401</v>
      </c>
      <c r="M34">
        <v>5009492</v>
      </c>
      <c r="N34">
        <f t="shared" si="3"/>
        <v>6.7334654339837758</v>
      </c>
      <c r="O34" s="1">
        <v>2.48813605308532</v>
      </c>
      <c r="P34">
        <v>5111018</v>
      </c>
      <c r="Q34">
        <f t="shared" si="4"/>
        <v>4.8432581657918394</v>
      </c>
    </row>
    <row r="35" spans="1:17" x14ac:dyDescent="0.4">
      <c r="A35" t="s">
        <v>41</v>
      </c>
      <c r="B35">
        <v>6326881</v>
      </c>
      <c r="C35">
        <v>8.3491802215576102E-3</v>
      </c>
      <c r="D35">
        <v>5853572</v>
      </c>
      <c r="E35">
        <f t="shared" si="0"/>
        <v>7.4809214840614207</v>
      </c>
      <c r="F35">
        <v>1.6660690307617101E-3</v>
      </c>
      <c r="G35">
        <v>5388309</v>
      </c>
      <c r="H35">
        <f t="shared" si="1"/>
        <v>14.834671301704583</v>
      </c>
      <c r="I35" s="1">
        <v>15.8316447734832</v>
      </c>
      <c r="J35">
        <v>5792324</v>
      </c>
      <c r="K35">
        <f t="shared" si="2"/>
        <v>8.4489814175420719</v>
      </c>
      <c r="L35" s="1">
        <v>20.239379405975299</v>
      </c>
      <c r="M35">
        <v>5909851</v>
      </c>
      <c r="N35">
        <f t="shared" si="3"/>
        <v>6.5913994589119032</v>
      </c>
      <c r="O35" s="1">
        <v>1.1701328754425</v>
      </c>
      <c r="P35">
        <v>6033598</v>
      </c>
      <c r="Q35">
        <f t="shared" si="4"/>
        <v>4.6355068160757256</v>
      </c>
    </row>
    <row r="36" spans="1:17" x14ac:dyDescent="0.4">
      <c r="A36" t="s">
        <v>42</v>
      </c>
      <c r="B36">
        <v>11156640</v>
      </c>
      <c r="C36">
        <v>8.6112022399902292E-3</v>
      </c>
      <c r="D36">
        <v>10283315</v>
      </c>
      <c r="E36">
        <f t="shared" si="0"/>
        <v>7.827849603464843</v>
      </c>
      <c r="F36">
        <v>1.8103122711181599E-3</v>
      </c>
      <c r="G36">
        <v>9472886</v>
      </c>
      <c r="H36">
        <f t="shared" si="1"/>
        <v>15.091945245163419</v>
      </c>
      <c r="I36" s="1">
        <v>22.637068271636899</v>
      </c>
      <c r="J36">
        <v>10201082</v>
      </c>
      <c r="K36">
        <f t="shared" si="2"/>
        <v>8.5649263577564572</v>
      </c>
      <c r="L36" s="1">
        <v>21.0514910221099</v>
      </c>
      <c r="M36">
        <v>10446189</v>
      </c>
      <c r="N36">
        <f t="shared" si="3"/>
        <v>6.367965624058856</v>
      </c>
      <c r="O36">
        <v>0.97471022605895996</v>
      </c>
      <c r="P36">
        <v>10600245</v>
      </c>
      <c r="Q36">
        <f t="shared" si="4"/>
        <v>4.9871197779976768</v>
      </c>
    </row>
    <row r="37" spans="1:17" x14ac:dyDescent="0.4">
      <c r="A37" t="s">
        <v>43</v>
      </c>
      <c r="B37">
        <v>2388072</v>
      </c>
      <c r="C37">
        <v>8.2714557647704991E-3</v>
      </c>
      <c r="D37">
        <v>2195914</v>
      </c>
      <c r="E37">
        <f t="shared" si="0"/>
        <v>8.0465748101397274</v>
      </c>
      <c r="F37">
        <v>1.5428066253662101E-3</v>
      </c>
      <c r="G37">
        <v>2045218</v>
      </c>
      <c r="H37">
        <f t="shared" si="1"/>
        <v>14.356937311772844</v>
      </c>
      <c r="I37">
        <v>8.1868178844451904</v>
      </c>
      <c r="J37">
        <v>2184038</v>
      </c>
      <c r="K37">
        <f t="shared" si="2"/>
        <v>8.5438797490192933</v>
      </c>
      <c r="L37">
        <v>19.4082190990448</v>
      </c>
      <c r="M37">
        <v>2224880</v>
      </c>
      <c r="N37">
        <f t="shared" si="3"/>
        <v>6.8336298068064947</v>
      </c>
      <c r="O37" s="1">
        <v>1.21944832801818</v>
      </c>
      <c r="P37">
        <v>2272812</v>
      </c>
      <c r="Q37">
        <f t="shared" si="4"/>
        <v>4.826487643588635</v>
      </c>
    </row>
    <row r="38" spans="1:17" x14ac:dyDescent="0.4">
      <c r="A38" t="s">
        <v>44</v>
      </c>
      <c r="B38">
        <v>3060787</v>
      </c>
      <c r="C38">
        <v>9.0360641479492101E-3</v>
      </c>
      <c r="D38">
        <v>2822186</v>
      </c>
      <c r="E38">
        <f t="shared" si="0"/>
        <v>7.795413401847302</v>
      </c>
      <c r="F38">
        <v>1.4719963073730399E-3</v>
      </c>
      <c r="G38">
        <v>2604889</v>
      </c>
      <c r="H38">
        <f t="shared" si="1"/>
        <v>14.894796665040724</v>
      </c>
      <c r="I38" s="1">
        <v>10.088417053222599</v>
      </c>
      <c r="J38">
        <v>2788971</v>
      </c>
      <c r="K38">
        <f t="shared" si="2"/>
        <v>8.8805918216458704</v>
      </c>
      <c r="L38" s="1">
        <v>19.390349626541099</v>
      </c>
      <c r="M38">
        <v>2865625</v>
      </c>
      <c r="N38">
        <f t="shared" si="3"/>
        <v>6.3762032444596777</v>
      </c>
      <c r="O38" s="1">
        <v>1.3919601440429601</v>
      </c>
      <c r="P38">
        <v>2905635</v>
      </c>
      <c r="Q38">
        <f t="shared" si="4"/>
        <v>5.0690230976542958</v>
      </c>
    </row>
    <row r="39" spans="1:17" x14ac:dyDescent="0.4">
      <c r="A39" t="s">
        <v>45</v>
      </c>
      <c r="B39">
        <v>4948886</v>
      </c>
      <c r="C39">
        <v>8.5060596466064401E-3</v>
      </c>
      <c r="D39">
        <v>4558713</v>
      </c>
      <c r="E39">
        <f t="shared" si="0"/>
        <v>7.8840571393238799</v>
      </c>
      <c r="F39">
        <v>1.6343593597412101E-3</v>
      </c>
      <c r="G39">
        <v>4189265</v>
      </c>
      <c r="H39">
        <f t="shared" si="1"/>
        <v>15.349333163059322</v>
      </c>
      <c r="I39" s="1">
        <v>14.950409889221101</v>
      </c>
      <c r="J39">
        <v>4499583</v>
      </c>
      <c r="K39">
        <f t="shared" si="2"/>
        <v>9.0788714874418197</v>
      </c>
      <c r="L39" s="1">
        <v>19.774788618087701</v>
      </c>
      <c r="M39">
        <v>4619899</v>
      </c>
      <c r="N39">
        <f t="shared" si="3"/>
        <v>6.6476980880141507</v>
      </c>
      <c r="O39" s="1">
        <v>1.3198106288909901</v>
      </c>
      <c r="P39">
        <v>4705478</v>
      </c>
      <c r="Q39">
        <f t="shared" si="4"/>
        <v>4.918440230791334</v>
      </c>
    </row>
    <row r="40" spans="1:17" x14ac:dyDescent="0.4">
      <c r="A40" t="s">
        <v>46</v>
      </c>
      <c r="B40">
        <v>5293543</v>
      </c>
      <c r="C40">
        <v>8.3518028259277292E-3</v>
      </c>
      <c r="D40">
        <v>4864454</v>
      </c>
      <c r="E40">
        <f t="shared" si="0"/>
        <v>8.1058942942373378</v>
      </c>
      <c r="F40">
        <v>1.6269683837890599E-3</v>
      </c>
      <c r="G40">
        <v>4494202</v>
      </c>
      <c r="H40">
        <f t="shared" si="1"/>
        <v>15.100302387266904</v>
      </c>
      <c r="I40" s="1">
        <v>14.661772966384801</v>
      </c>
      <c r="J40">
        <v>4823325</v>
      </c>
      <c r="K40">
        <f t="shared" si="2"/>
        <v>8.8828597406311793</v>
      </c>
      <c r="L40" s="1">
        <v>20.164082288742001</v>
      </c>
      <c r="M40">
        <v>4931029</v>
      </c>
      <c r="N40">
        <f t="shared" si="3"/>
        <v>6.8482300039878776</v>
      </c>
      <c r="O40" s="1">
        <v>0.987293720245361</v>
      </c>
      <c r="P40">
        <v>5016842</v>
      </c>
      <c r="Q40">
        <f t="shared" si="4"/>
        <v>5.227141821649508</v>
      </c>
    </row>
    <row r="41" spans="1:17" x14ac:dyDescent="0.4">
      <c r="A41" t="s">
        <v>47</v>
      </c>
      <c r="B41">
        <v>7457217</v>
      </c>
      <c r="C41">
        <v>8.3956718444824201E-3</v>
      </c>
      <c r="D41">
        <v>6836590</v>
      </c>
      <c r="E41">
        <f t="shared" si="0"/>
        <v>8.3225015444769816</v>
      </c>
      <c r="F41">
        <v>1.6634464263916E-3</v>
      </c>
      <c r="G41">
        <v>6387612</v>
      </c>
      <c r="H41">
        <f t="shared" si="1"/>
        <v>14.343219461093865</v>
      </c>
      <c r="I41" s="1">
        <v>18.188772678375202</v>
      </c>
      <c r="J41">
        <v>6798241</v>
      </c>
      <c r="K41">
        <f t="shared" si="2"/>
        <v>8.8367550521863585</v>
      </c>
      <c r="L41" s="1">
        <v>20.401775360107401</v>
      </c>
      <c r="M41">
        <v>6956428</v>
      </c>
      <c r="N41">
        <f t="shared" si="3"/>
        <v>6.715494533684617</v>
      </c>
      <c r="O41">
        <v>0.90009474754333496</v>
      </c>
      <c r="P41">
        <v>7066386</v>
      </c>
      <c r="Q41">
        <f t="shared" si="4"/>
        <v>5.2409766270714666</v>
      </c>
    </row>
    <row r="42" spans="1:17" x14ac:dyDescent="0.4">
      <c r="A42" t="s">
        <v>48</v>
      </c>
      <c r="C42">
        <f>AVERAGE(C3:C41)</f>
        <v>8.3925051566882004E-3</v>
      </c>
      <c r="E42">
        <f>AVERAGE(E3:E41)</f>
        <v>7.7489505476983283</v>
      </c>
      <c r="F42">
        <f>AVERAGE(F3:F41)</f>
        <v>1.6764310690072816E-3</v>
      </c>
      <c r="H42">
        <f>AVERAGE(H3:H41)</f>
        <v>16.395884230843105</v>
      </c>
      <c r="I42">
        <f>AVERAGE(I3:I41)</f>
        <v>18.746541817982944</v>
      </c>
      <c r="K42">
        <f>AVERAGE(K3:K41)</f>
        <v>9.2279853640343656</v>
      </c>
      <c r="L42">
        <f>AVERAGE(L3:L41)</f>
        <v>18.300239819746714</v>
      </c>
      <c r="N42">
        <f>AVERAGE(N3:N41)</f>
        <v>7.13209004498216</v>
      </c>
      <c r="O42">
        <f>AVERAGE(O3:O41)</f>
        <v>1.0952843886155326</v>
      </c>
      <c r="Q42">
        <f>AVERAGE(Q3:Q41)</f>
        <v>5.3061600485302831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xLOLIB_150-becker_40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Ando Kazutoshi (安藤和敏)</cp:lastModifiedBy>
  <dcterms:created xsi:type="dcterms:W3CDTF">2026-05-19T12:30:12Z</dcterms:created>
  <dcterms:modified xsi:type="dcterms:W3CDTF">2026-06-02T08:33:33Z</dcterms:modified>
</cp:coreProperties>
</file>
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ando\sugimoto_program\lop-decomposition-heuristics\results\constructive\"/>
    </mc:Choice>
  </mc:AlternateContent>
  <xr:revisionPtr revIDLastSave="0" documentId="13_ncr:1_{66DAF40D-7D42-4083-9DBD-A1C5BF63FF5B}" xr6:coauthVersionLast="47" xr6:coauthVersionMax="47" xr10:uidLastSave="{00000000-0000-0000-0000-000000000000}"/>
  <bookViews>
    <workbookView xWindow="7005" yWindow="405" windowWidth="28260" windowHeight="20430" xr2:uid="{7B5E9801-659E-4713-967B-00ADF02CDF76}"/>
  </bookViews>
  <sheets>
    <sheet name="xLOLIB_150-becker_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1" l="1"/>
  <c r="L42" i="1"/>
  <c r="I42" i="1"/>
  <c r="F42" i="1"/>
  <c r="C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3" i="1"/>
  <c r="K42" i="1" l="1"/>
  <c r="H42" i="1"/>
  <c r="Q42" i="1"/>
  <c r="E42" i="1"/>
  <c r="N42" i="1"/>
</calcChain>
</file>

<file path=xl/sharedStrings.xml><?xml version="1.0" encoding="utf-8"?>
<sst xmlns="http://schemas.openxmlformats.org/spreadsheetml/2006/main" count="199" uniqueCount="162">
  <si>
    <t>N-be75eec_150</t>
  </si>
  <si>
    <t>N-be75np_150</t>
  </si>
  <si>
    <t>N-be75oi_150</t>
  </si>
  <si>
    <t>N-be75tot_150</t>
  </si>
  <si>
    <t>N-stabu1_150</t>
  </si>
  <si>
    <t>N-stabu2_150</t>
  </si>
  <si>
    <t>N-stabu3_150</t>
  </si>
  <si>
    <t>N-t59b11xx_150</t>
  </si>
  <si>
    <t>N-t59d11xx_150</t>
  </si>
  <si>
    <t>N-t59f11xx_150</t>
  </si>
  <si>
    <t>N-t59n11xx_150</t>
  </si>
  <si>
    <t>N-t65b11xx_150</t>
  </si>
  <si>
    <t>N-t65d11xx_150</t>
  </si>
  <si>
    <t>N-t65f11xx_150</t>
  </si>
  <si>
    <t>N-t65l11xx_150</t>
  </si>
  <si>
    <t>N-t65n11xx_150</t>
  </si>
  <si>
    <t>N-t69r11xx_150</t>
  </si>
  <si>
    <t>N-t70b11xx_150</t>
  </si>
  <si>
    <t>N-t70d11xn_150</t>
  </si>
  <si>
    <t>N-t70d11xx_150</t>
  </si>
  <si>
    <t>N-t70f11xx_150</t>
  </si>
  <si>
    <t>N-t70l11xx_150</t>
  </si>
  <si>
    <t>N-t70n11xx_150</t>
  </si>
  <si>
    <t>N-t74d11xx_150</t>
  </si>
  <si>
    <t>N-t75d11xx_150</t>
  </si>
  <si>
    <t>N-t75e11xx_150</t>
  </si>
  <si>
    <t>N-t75k11xx_150</t>
  </si>
  <si>
    <t>N-t75n11xx_150</t>
  </si>
  <si>
    <t>N-tiw56n54_150</t>
  </si>
  <si>
    <t>N-tiw56n58_150</t>
  </si>
  <si>
    <t>N-tiw56n62_150</t>
  </si>
  <si>
    <t>N-tiw56n66_150</t>
  </si>
  <si>
    <t>N-tiw56n67_150</t>
  </si>
  <si>
    <t>N-tiw56n72_150</t>
  </si>
  <si>
    <t>N-tiw56r54_150</t>
  </si>
  <si>
    <t>N-tiw56r58_150</t>
  </si>
  <si>
    <t>N-tiw56r66_150</t>
  </si>
  <si>
    <t>N-tiw56r67_150</t>
  </si>
  <si>
    <t>N-tiw56r72_150</t>
  </si>
  <si>
    <t>becker</t>
    <phoneticPr fontId="18"/>
  </si>
  <si>
    <t>borda</t>
    <phoneticPr fontId="18"/>
  </si>
  <si>
    <t>level</t>
    <phoneticPr fontId="18"/>
  </si>
  <si>
    <t>mincut</t>
    <phoneticPr fontId="18"/>
  </si>
  <si>
    <t>rborda</t>
    <phoneticPr fontId="18"/>
  </si>
  <si>
    <t>best_objval</t>
    <phoneticPr fontId="18"/>
  </si>
  <si>
    <t>time</t>
    <phoneticPr fontId="18"/>
  </si>
  <si>
    <t>obj</t>
    <phoneticPr fontId="18"/>
  </si>
  <si>
    <t>rel.dev.</t>
    <phoneticPr fontId="18"/>
  </si>
  <si>
    <t>m=150</t>
    <phoneticPr fontId="18"/>
  </si>
  <si>
    <t>m=250</t>
    <phoneticPr fontId="18"/>
  </si>
  <si>
    <t>0.015341997146606445</t>
  </si>
  <si>
    <t>3.2268893718719482</t>
  </si>
  <si>
    <t>5.818639755249023</t>
  </si>
  <si>
    <t>1.5700793266296387</t>
  </si>
  <si>
    <t>7.636475563049316</t>
  </si>
  <si>
    <t>3.880549907684326</t>
  </si>
  <si>
    <t>4.836663484573364</t>
  </si>
  <si>
    <t>4.925604343414307</t>
  </si>
  <si>
    <t>1.0329926013946533</t>
  </si>
  <si>
    <t>2.5733559131622314</t>
  </si>
  <si>
    <t>2.290574073791504</t>
  </si>
  <si>
    <t>0.8710606098175049</t>
  </si>
  <si>
    <t>5.504262685775757</t>
  </si>
  <si>
    <t>4.548868179321289</t>
  </si>
  <si>
    <t>3.9989421367645264</t>
  </si>
  <si>
    <t>0.5015256404876709</t>
  </si>
  <si>
    <t>1.1375517845153809</t>
  </si>
  <si>
    <t>6.0017454624176025</t>
  </si>
  <si>
    <t>6.592391729354858</t>
  </si>
  <si>
    <t>6.572789430618286</t>
  </si>
  <si>
    <t>5.274285316467285</t>
  </si>
  <si>
    <t>0.6182911396026611</t>
  </si>
  <si>
    <t>1.5297625064849854</t>
  </si>
  <si>
    <t>8.156404495239258</t>
  </si>
  <si>
    <t>8.631589889526367</t>
  </si>
  <si>
    <t>14.350464344024658</t>
  </si>
  <si>
    <t>2.243278741836548</t>
  </si>
  <si>
    <t>2.2965590953826904</t>
  </si>
  <si>
    <t>1.8431949615478516</t>
  </si>
  <si>
    <t>2.4969513416290283</t>
  </si>
  <si>
    <t>2.902576208114624</t>
  </si>
  <si>
    <t>3.908601760864258</t>
  </si>
  <si>
    <t>3.611915349960327</t>
  </si>
  <si>
    <t>4.832545757293701</t>
  </si>
  <si>
    <t>2.5059211254119873</t>
  </si>
  <si>
    <t>2.437325954437256</t>
  </si>
  <si>
    <t>3.4414329528808594</t>
  </si>
  <si>
    <t>4.155632257461548</t>
  </si>
  <si>
    <t>3.3583643436431885</t>
  </si>
  <si>
    <t>3.5771069526672363</t>
  </si>
  <si>
    <t>2.774773120880127</t>
  </si>
  <si>
    <t>3.8865885734558105</t>
  </si>
  <si>
    <t>4.205195903778076</t>
  </si>
  <si>
    <t>3.626286506652832</t>
  </si>
  <si>
    <t>3.9297561645507812</t>
  </si>
  <si>
    <t>2.9681198596954346</t>
  </si>
  <si>
    <t>3.353825092315674</t>
  </si>
  <si>
    <t>4.085574388504028</t>
  </si>
  <si>
    <t>2.778946876525879</t>
  </si>
  <si>
    <t>3.5318973064422607</t>
  </si>
  <si>
    <t>3.541628837585449</t>
  </si>
  <si>
    <t>3.605574369430542</t>
  </si>
  <si>
    <t>1.7054517269134521</t>
  </si>
  <si>
    <t>3.4348928928375244</t>
  </si>
  <si>
    <t>3.2529664039611816</t>
  </si>
  <si>
    <t>3.284069776535034</t>
  </si>
  <si>
    <t>4.392878293991089</t>
  </si>
  <si>
    <t>4.084694862365723</t>
  </si>
  <si>
    <t>1.8911991119384766</t>
  </si>
  <si>
    <t>3.3986175060272217</t>
  </si>
  <si>
    <t>3.8155415058135986</t>
  </si>
  <si>
    <t>4.459741830825806</t>
  </si>
  <si>
    <t>4.002045154571533</t>
  </si>
  <si>
    <t>3.2627639770507812</t>
  </si>
  <si>
    <t>3.3474044799804688</t>
  </si>
  <si>
    <t>3.7102718353271484</t>
  </si>
  <si>
    <t>4.345952987670898</t>
  </si>
  <si>
    <t>4.000645160675049</t>
  </si>
  <si>
    <t>3.742048501968384</t>
  </si>
  <si>
    <t>3.8870203495025635</t>
  </si>
  <si>
    <t>3.5100924968719482</t>
  </si>
  <si>
    <t>4.7142674922943115</t>
  </si>
  <si>
    <t>3.9202792644500732</t>
  </si>
  <si>
    <t>3.9877238273620605</t>
  </si>
  <si>
    <t>3.903549909591675</t>
  </si>
  <si>
    <t>0.8631601333618164</t>
  </si>
  <si>
    <t>0.7524135112762451</t>
  </si>
  <si>
    <t>0.9100527763366699</t>
  </si>
  <si>
    <t>0.6495392322540283</t>
  </si>
  <si>
    <t>0.8916256427764893</t>
  </si>
  <si>
    <t>1.2722289562225342</t>
  </si>
  <si>
    <t>0.36386704444885254</t>
  </si>
  <si>
    <t>1.678229570388794</t>
  </si>
  <si>
    <t>1.1387519836425781</t>
  </si>
  <si>
    <t>1.0081183910369873</t>
  </si>
  <si>
    <t>0.6202003955841064</t>
  </si>
  <si>
    <t>0.6560187339782715</t>
  </si>
  <si>
    <t>1.097466230392456</t>
  </si>
  <si>
    <t>0.6572184562683105</t>
  </si>
  <si>
    <t>0.6658797264099121</t>
  </si>
  <si>
    <t>1.527249813079834</t>
  </si>
  <si>
    <t>0.9433121681213379</t>
  </si>
  <si>
    <t>1.1848673820495605</t>
  </si>
  <si>
    <t>1.5907974243164062</t>
  </si>
  <si>
    <t>1.8310503959655762</t>
  </si>
  <si>
    <t>0.5838959217071533</t>
  </si>
  <si>
    <t>1.0802154541015625</t>
  </si>
  <si>
    <t>4.631005764007568</t>
  </si>
  <si>
    <t>1.0665669441223145</t>
  </si>
  <si>
    <t>0.7193260192871094</t>
  </si>
  <si>
    <t>1.241100549697876</t>
  </si>
  <si>
    <t>1.3610849380493164</t>
  </si>
  <si>
    <t>0.8036715984344482</t>
  </si>
  <si>
    <t>0.9799013137817383</t>
  </si>
  <si>
    <t>0.7372264862060547</t>
  </si>
  <si>
    <t>1.0904617309570312</t>
  </si>
  <si>
    <t>1.2076950073242188</t>
  </si>
  <si>
    <t>0.6218774318695068</t>
  </si>
  <si>
    <t>1.8335320949554443</t>
  </si>
  <si>
    <t>0.3512570858001709</t>
  </si>
  <si>
    <t>1.467437744140625</t>
  </si>
  <si>
    <t>1.0612192153930664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</si>
</sst>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40BE-D033-46C9-83FF-4F62CDAE2F8C}">
  <dimension ref="A1:Q49"/>
  <sheetViews>
    <sheetView tabSelected="1" workbookViewId="0">
      <selection activeCell="T13" sqref="T13"/>
    </sheetView>
  </sheetViews>
  <sheetFormatPr defaultRowHeight="18.75" x14ac:dyDescent="0.4"/>
  <cols>
    <col min="1" max="1" width="15.375" customWidth="1"/>
    <col min="2" max="2" width="12.625" customWidth="1"/>
  </cols>
  <sheetData>
    <row r="1" spans="1:17" x14ac:dyDescent="0.4">
      <c r="C1" t="s">
        <v>39</v>
      </c>
      <c r="D1" t="s">
        <v>39</v>
      </c>
      <c r="E1" t="s">
        <v>39</v>
      </c>
      <c r="F1" t="s">
        <v>40</v>
      </c>
      <c r="G1" t="s">
        <v>40</v>
      </c>
      <c r="H1" t="s">
        <v>40</v>
      </c>
      <c r="I1" t="s">
        <v>41</v>
      </c>
      <c r="J1" t="s">
        <v>41</v>
      </c>
      <c r="K1" t="s">
        <v>41</v>
      </c>
      <c r="L1" t="s">
        <v>42</v>
      </c>
      <c r="M1" t="s">
        <v>42</v>
      </c>
      <c r="N1" t="s">
        <v>42</v>
      </c>
      <c r="O1" t="s">
        <v>43</v>
      </c>
      <c r="P1" t="s">
        <v>43</v>
      </c>
      <c r="Q1" t="s">
        <v>43</v>
      </c>
    </row>
    <row r="2" spans="1:17" x14ac:dyDescent="0.4">
      <c r="B2" t="s">
        <v>44</v>
      </c>
      <c r="C2" t="s">
        <v>45</v>
      </c>
      <c r="D2" t="s">
        <v>46</v>
      </c>
      <c r="E2" t="s">
        <v>47</v>
      </c>
      <c r="F2" t="s">
        <v>45</v>
      </c>
      <c r="G2" t="s">
        <v>46</v>
      </c>
      <c r="H2" t="s">
        <v>47</v>
      </c>
      <c r="I2" t="s">
        <v>45</v>
      </c>
      <c r="J2" t="s">
        <v>46</v>
      </c>
      <c r="K2" t="s">
        <v>47</v>
      </c>
      <c r="L2" t="s">
        <v>45</v>
      </c>
      <c r="M2" t="s">
        <v>46</v>
      </c>
      <c r="N2" t="s">
        <v>47</v>
      </c>
      <c r="O2" t="s">
        <v>45</v>
      </c>
      <c r="P2" t="s">
        <v>46</v>
      </c>
      <c r="Q2" t="s">
        <v>47</v>
      </c>
    </row>
    <row r="3" spans="1:17" x14ac:dyDescent="0.4">
      <c r="A3" t="s">
        <v>0</v>
      </c>
      <c r="B3">
        <v>3482828</v>
      </c>
      <c r="C3" s="1" t="s">
        <v>50</v>
      </c>
      <c r="D3">
        <v>3255549</v>
      </c>
      <c r="E3">
        <f>($B3-D3)/$B3*100</f>
        <v>6.5257026761011456</v>
      </c>
      <c r="F3">
        <v>6.3323974609375E-4</v>
      </c>
      <c r="G3">
        <v>2823008</v>
      </c>
      <c r="H3">
        <f>($B3-G3)/$B3*100</f>
        <v>18.944949334276629</v>
      </c>
      <c r="I3" s="1" t="s">
        <v>51</v>
      </c>
      <c r="J3">
        <v>3209247</v>
      </c>
      <c r="K3">
        <f>($B3-J3)/$B3*100</f>
        <v>7.855139559002053</v>
      </c>
      <c r="L3" s="1" t="s">
        <v>88</v>
      </c>
      <c r="M3">
        <v>3282648</v>
      </c>
      <c r="N3">
        <f>($B3-M3)/$B3*100</f>
        <v>5.7476280769535562</v>
      </c>
      <c r="O3" s="1" t="s">
        <v>125</v>
      </c>
      <c r="P3">
        <v>3325658</v>
      </c>
      <c r="Q3">
        <f>($B3-P3)/$B3*100</f>
        <v>4.5127120833988936</v>
      </c>
    </row>
    <row r="4" spans="1:17" x14ac:dyDescent="0.4">
      <c r="A4" t="s">
        <v>1</v>
      </c>
      <c r="B4">
        <v>7182660</v>
      </c>
      <c r="C4">
        <v>3.2517910003662101E-3</v>
      </c>
      <c r="D4">
        <v>6708939</v>
      </c>
      <c r="E4">
        <f t="shared" ref="E4:E41" si="0">($B4-D4)/$B4*100</f>
        <v>6.5953421155950585</v>
      </c>
      <c r="F4">
        <v>6.8974494934081999E-4</v>
      </c>
      <c r="G4">
        <v>5838600</v>
      </c>
      <c r="H4">
        <f t="shared" ref="H4:H41" si="1">($B4-G4)/$B4*100</f>
        <v>18.712566096682846</v>
      </c>
      <c r="I4" s="1" t="s">
        <v>52</v>
      </c>
      <c r="J4">
        <v>6605750</v>
      </c>
      <c r="K4">
        <f t="shared" ref="K4:K41" si="2">($B4-J4)/$B4*100</f>
        <v>8.0319825802697054</v>
      </c>
      <c r="L4" s="1" t="s">
        <v>89</v>
      </c>
      <c r="M4">
        <v>6818383</v>
      </c>
      <c r="N4">
        <f t="shared" ref="N4:N41" si="3">($B4-M4)/$B4*100</f>
        <v>5.0716169218646012</v>
      </c>
      <c r="O4" s="1" t="s">
        <v>126</v>
      </c>
      <c r="P4">
        <v>6802433</v>
      </c>
      <c r="Q4">
        <f t="shared" ref="Q4:Q41" si="4">($B4-P4)/$B4*100</f>
        <v>5.293679500352237</v>
      </c>
    </row>
    <row r="5" spans="1:17" x14ac:dyDescent="0.4">
      <c r="A5" t="s">
        <v>2</v>
      </c>
      <c r="B5">
        <v>2246853</v>
      </c>
      <c r="C5">
        <v>2.98190116882324E-3</v>
      </c>
      <c r="D5">
        <v>2103474</v>
      </c>
      <c r="E5">
        <f t="shared" si="0"/>
        <v>6.3813253470520763</v>
      </c>
      <c r="F5">
        <v>5.1188468933105404E-4</v>
      </c>
      <c r="G5">
        <v>1907085</v>
      </c>
      <c r="H5">
        <f t="shared" si="1"/>
        <v>15.121950568194714</v>
      </c>
      <c r="I5" s="1" t="s">
        <v>53</v>
      </c>
      <c r="J5">
        <v>2166609</v>
      </c>
      <c r="K5">
        <f t="shared" si="2"/>
        <v>3.5713951914077153</v>
      </c>
      <c r="L5" s="1" t="s">
        <v>90</v>
      </c>
      <c r="M5">
        <v>2185805</v>
      </c>
      <c r="N5">
        <f t="shared" si="3"/>
        <v>2.7170446842761855</v>
      </c>
      <c r="O5" s="1" t="s">
        <v>127</v>
      </c>
      <c r="P5">
        <v>2161924</v>
      </c>
      <c r="Q5">
        <f t="shared" si="4"/>
        <v>3.7799090550205112</v>
      </c>
    </row>
    <row r="6" spans="1:17" x14ac:dyDescent="0.4">
      <c r="A6" t="s">
        <v>3</v>
      </c>
      <c r="B6">
        <v>12287935</v>
      </c>
      <c r="C6">
        <v>3.1354427337646402E-3</v>
      </c>
      <c r="D6">
        <v>11380767</v>
      </c>
      <c r="E6">
        <f t="shared" si="0"/>
        <v>7.3825911351256339</v>
      </c>
      <c r="F6">
        <v>8.0823898315429601E-4</v>
      </c>
      <c r="G6">
        <v>10034302</v>
      </c>
      <c r="H6">
        <f t="shared" si="1"/>
        <v>18.340209319141092</v>
      </c>
      <c r="I6" s="1" t="s">
        <v>54</v>
      </c>
      <c r="J6">
        <v>11396004</v>
      </c>
      <c r="K6">
        <f t="shared" si="2"/>
        <v>7.2585914557653508</v>
      </c>
      <c r="L6" s="1" t="s">
        <v>91</v>
      </c>
      <c r="M6">
        <v>11560522</v>
      </c>
      <c r="N6">
        <f t="shared" si="3"/>
        <v>5.9197334621317577</v>
      </c>
      <c r="O6" s="1" t="s">
        <v>128</v>
      </c>
      <c r="P6">
        <v>11534009</v>
      </c>
      <c r="Q6">
        <f t="shared" si="4"/>
        <v>6.1354979498182569</v>
      </c>
    </row>
    <row r="7" spans="1:17" x14ac:dyDescent="0.4">
      <c r="A7" t="s">
        <v>4</v>
      </c>
      <c r="B7">
        <v>2875732</v>
      </c>
      <c r="C7">
        <v>3.1135082244872999E-3</v>
      </c>
      <c r="D7">
        <v>2671607</v>
      </c>
      <c r="E7">
        <f t="shared" si="0"/>
        <v>7.0981927384053876</v>
      </c>
      <c r="F7">
        <v>6.9427490234375E-4</v>
      </c>
      <c r="G7">
        <v>2377128</v>
      </c>
      <c r="H7">
        <f t="shared" si="1"/>
        <v>17.338333335651583</v>
      </c>
      <c r="I7" s="1" t="s">
        <v>55</v>
      </c>
      <c r="J7">
        <v>2640542</v>
      </c>
      <c r="K7">
        <f t="shared" si="2"/>
        <v>8.1784394373328251</v>
      </c>
      <c r="L7" s="1" t="s">
        <v>92</v>
      </c>
      <c r="M7">
        <v>2730456</v>
      </c>
      <c r="N7">
        <f t="shared" si="3"/>
        <v>5.0517920306899251</v>
      </c>
      <c r="O7" s="1" t="s">
        <v>129</v>
      </c>
      <c r="P7">
        <v>2768461</v>
      </c>
      <c r="Q7">
        <f t="shared" si="4"/>
        <v>3.7302154720954523</v>
      </c>
    </row>
    <row r="8" spans="1:17" x14ac:dyDescent="0.4">
      <c r="A8" t="s">
        <v>5</v>
      </c>
      <c r="B8">
        <v>4327538</v>
      </c>
      <c r="C8">
        <v>3.082275390625E-3</v>
      </c>
      <c r="D8">
        <v>4022747</v>
      </c>
      <c r="E8">
        <f t="shared" si="0"/>
        <v>7.0430577386033351</v>
      </c>
      <c r="F8">
        <v>7.7962875366210905E-4</v>
      </c>
      <c r="G8">
        <v>3559209</v>
      </c>
      <c r="H8">
        <f t="shared" si="1"/>
        <v>17.754413710520854</v>
      </c>
      <c r="I8" s="1" t="s">
        <v>56</v>
      </c>
      <c r="J8">
        <v>4003938</v>
      </c>
      <c r="K8">
        <f t="shared" si="2"/>
        <v>7.4776928590806131</v>
      </c>
      <c r="L8" s="1" t="s">
        <v>93</v>
      </c>
      <c r="M8">
        <v>4087909</v>
      </c>
      <c r="N8">
        <f t="shared" si="3"/>
        <v>5.5373055071960078</v>
      </c>
      <c r="O8" s="1" t="s">
        <v>130</v>
      </c>
      <c r="P8">
        <v>4136589</v>
      </c>
      <c r="Q8">
        <f t="shared" si="4"/>
        <v>4.4124164825357974</v>
      </c>
    </row>
    <row r="9" spans="1:17" x14ac:dyDescent="0.4">
      <c r="A9" t="s">
        <v>6</v>
      </c>
      <c r="B9">
        <v>4510445</v>
      </c>
      <c r="C9">
        <v>3.09228897094726E-3</v>
      </c>
      <c r="D9">
        <v>4167899</v>
      </c>
      <c r="E9">
        <f t="shared" si="0"/>
        <v>7.5945056419045125</v>
      </c>
      <c r="F9">
        <v>6.98089599609375E-4</v>
      </c>
      <c r="G9">
        <v>3729555</v>
      </c>
      <c r="H9">
        <f t="shared" si="1"/>
        <v>17.312925886470182</v>
      </c>
      <c r="I9" s="1" t="s">
        <v>57</v>
      </c>
      <c r="J9">
        <v>4227931</v>
      </c>
      <c r="K9">
        <f t="shared" si="2"/>
        <v>6.2635504922463312</v>
      </c>
      <c r="L9" s="1" t="s">
        <v>94</v>
      </c>
      <c r="M9">
        <v>4265187</v>
      </c>
      <c r="N9">
        <f t="shared" si="3"/>
        <v>5.4375566047252546</v>
      </c>
      <c r="O9" s="1" t="s">
        <v>131</v>
      </c>
      <c r="P9">
        <v>4338078</v>
      </c>
      <c r="Q9">
        <f t="shared" si="4"/>
        <v>3.8215076339474261</v>
      </c>
    </row>
    <row r="10" spans="1:17" x14ac:dyDescent="0.4">
      <c r="A10" t="s">
        <v>7</v>
      </c>
      <c r="B10">
        <v>3239550</v>
      </c>
      <c r="C10">
        <v>2.9478073120117101E-3</v>
      </c>
      <c r="D10">
        <v>2953850</v>
      </c>
      <c r="E10">
        <f t="shared" si="0"/>
        <v>8.8191261131947343</v>
      </c>
      <c r="F10">
        <v>6.3133239746093696E-4</v>
      </c>
      <c r="G10">
        <v>2624695</v>
      </c>
      <c r="H10">
        <f t="shared" si="1"/>
        <v>18.979642234260933</v>
      </c>
      <c r="I10" s="1" t="s">
        <v>58</v>
      </c>
      <c r="J10">
        <v>2958745</v>
      </c>
      <c r="K10">
        <f t="shared" si="2"/>
        <v>8.6680248799987645</v>
      </c>
      <c r="L10" s="1" t="s">
        <v>95</v>
      </c>
      <c r="M10">
        <v>3040625</v>
      </c>
      <c r="N10">
        <f t="shared" si="3"/>
        <v>6.1405133429025636</v>
      </c>
      <c r="O10" s="1" t="s">
        <v>132</v>
      </c>
      <c r="P10">
        <v>3089365</v>
      </c>
      <c r="Q10">
        <f t="shared" si="4"/>
        <v>4.6359833927551666</v>
      </c>
    </row>
    <row r="11" spans="1:17" x14ac:dyDescent="0.4">
      <c r="A11" t="s">
        <v>8</v>
      </c>
      <c r="B11">
        <v>1462418</v>
      </c>
      <c r="C11">
        <v>3.3383369445800699E-3</v>
      </c>
      <c r="D11">
        <v>1335157</v>
      </c>
      <c r="E11">
        <f t="shared" si="0"/>
        <v>8.7020947499278591</v>
      </c>
      <c r="F11">
        <v>6.2489509582519499E-4</v>
      </c>
      <c r="G11">
        <v>1204398</v>
      </c>
      <c r="H11">
        <f t="shared" si="1"/>
        <v>17.643382398192582</v>
      </c>
      <c r="I11" s="1" t="s">
        <v>59</v>
      </c>
      <c r="J11">
        <v>1292104</v>
      </c>
      <c r="K11">
        <f t="shared" si="2"/>
        <v>11.646054684775487</v>
      </c>
      <c r="L11" s="1" t="s">
        <v>96</v>
      </c>
      <c r="M11">
        <v>1360832</v>
      </c>
      <c r="N11">
        <f t="shared" si="3"/>
        <v>6.9464407577040213</v>
      </c>
      <c r="O11" s="1" t="s">
        <v>133</v>
      </c>
      <c r="P11">
        <v>1397216</v>
      </c>
      <c r="Q11">
        <f t="shared" si="4"/>
        <v>4.45850639146947</v>
      </c>
    </row>
    <row r="12" spans="1:17" x14ac:dyDescent="0.4">
      <c r="A12" t="s">
        <v>9</v>
      </c>
      <c r="B12">
        <v>1543733</v>
      </c>
      <c r="C12">
        <v>3.0450820922851502E-3</v>
      </c>
      <c r="D12">
        <v>1432319</v>
      </c>
      <c r="E12">
        <f t="shared" si="0"/>
        <v>7.2171806912205678</v>
      </c>
      <c r="F12">
        <v>5.8937072753906196E-4</v>
      </c>
      <c r="G12">
        <v>1260461</v>
      </c>
      <c r="H12">
        <f t="shared" si="1"/>
        <v>18.349805309596931</v>
      </c>
      <c r="I12" s="1" t="s">
        <v>60</v>
      </c>
      <c r="J12">
        <v>1381520</v>
      </c>
      <c r="K12">
        <f t="shared" si="2"/>
        <v>10.507840410226379</v>
      </c>
      <c r="L12" s="1" t="s">
        <v>97</v>
      </c>
      <c r="M12">
        <v>1432933</v>
      </c>
      <c r="N12">
        <f t="shared" si="3"/>
        <v>7.1774069738743691</v>
      </c>
      <c r="O12" s="1" t="s">
        <v>134</v>
      </c>
      <c r="P12">
        <v>1472842</v>
      </c>
      <c r="Q12">
        <f t="shared" si="4"/>
        <v>4.5921801244127067</v>
      </c>
    </row>
    <row r="13" spans="1:17" x14ac:dyDescent="0.4">
      <c r="A13" t="s">
        <v>10</v>
      </c>
      <c r="B13">
        <v>318967</v>
      </c>
      <c r="C13">
        <v>3.0281543731689401E-3</v>
      </c>
      <c r="D13">
        <v>298517</v>
      </c>
      <c r="E13">
        <f t="shared" si="0"/>
        <v>6.411321547370104</v>
      </c>
      <c r="F13">
        <v>4.8995018005370996E-4</v>
      </c>
      <c r="G13">
        <v>263970</v>
      </c>
      <c r="H13">
        <f t="shared" si="1"/>
        <v>17.242222549668149</v>
      </c>
      <c r="I13" s="1" t="s">
        <v>61</v>
      </c>
      <c r="J13">
        <v>298781</v>
      </c>
      <c r="K13">
        <f t="shared" si="2"/>
        <v>6.3285543645580891</v>
      </c>
      <c r="L13" s="1" t="s">
        <v>98</v>
      </c>
      <c r="M13">
        <v>301810</v>
      </c>
      <c r="N13">
        <f t="shared" si="3"/>
        <v>5.3789263466126593</v>
      </c>
      <c r="O13" s="1" t="s">
        <v>135</v>
      </c>
      <c r="P13">
        <v>305704</v>
      </c>
      <c r="Q13">
        <f t="shared" si="4"/>
        <v>4.1581104001354365</v>
      </c>
    </row>
    <row r="14" spans="1:17" x14ac:dyDescent="0.4">
      <c r="A14" t="s">
        <v>11</v>
      </c>
      <c r="B14">
        <v>6455180</v>
      </c>
      <c r="C14">
        <v>3.3817291259765599E-3</v>
      </c>
      <c r="D14">
        <v>5889469</v>
      </c>
      <c r="E14">
        <f t="shared" si="0"/>
        <v>8.7636750640570824</v>
      </c>
      <c r="F14">
        <v>1.0278224945068301E-3</v>
      </c>
      <c r="G14">
        <v>5306338</v>
      </c>
      <c r="H14">
        <f t="shared" si="1"/>
        <v>17.797210922081181</v>
      </c>
      <c r="I14" s="1" t="s">
        <v>62</v>
      </c>
      <c r="J14">
        <v>5914071</v>
      </c>
      <c r="K14">
        <f t="shared" si="2"/>
        <v>8.3825547854591189</v>
      </c>
      <c r="L14" s="1" t="s">
        <v>99</v>
      </c>
      <c r="M14">
        <v>6099458</v>
      </c>
      <c r="N14">
        <f t="shared" si="3"/>
        <v>5.510644164841259</v>
      </c>
      <c r="O14" s="1" t="s">
        <v>136</v>
      </c>
      <c r="P14">
        <v>6127459</v>
      </c>
      <c r="Q14">
        <f t="shared" si="4"/>
        <v>5.0768684994066779</v>
      </c>
    </row>
    <row r="15" spans="1:17" x14ac:dyDescent="0.4">
      <c r="A15" t="s">
        <v>12</v>
      </c>
      <c r="B15">
        <v>3559347</v>
      </c>
      <c r="C15">
        <v>3.0920505523681602E-3</v>
      </c>
      <c r="D15">
        <v>3266873</v>
      </c>
      <c r="E15">
        <f t="shared" si="0"/>
        <v>8.2170690297967575</v>
      </c>
      <c r="F15">
        <v>7.6770782470703103E-4</v>
      </c>
      <c r="G15">
        <v>2967235</v>
      </c>
      <c r="H15">
        <f t="shared" si="1"/>
        <v>16.635410933522358</v>
      </c>
      <c r="I15" s="1" t="s">
        <v>63</v>
      </c>
      <c r="J15">
        <v>3233110</v>
      </c>
      <c r="K15">
        <f t="shared" si="2"/>
        <v>9.1656419000451486</v>
      </c>
      <c r="L15" s="1" t="s">
        <v>100</v>
      </c>
      <c r="M15">
        <v>3317576</v>
      </c>
      <c r="N15">
        <f t="shared" si="3"/>
        <v>6.7925661645239988</v>
      </c>
      <c r="O15" s="1" t="s">
        <v>137</v>
      </c>
      <c r="P15">
        <v>3403533</v>
      </c>
      <c r="Q15">
        <f t="shared" si="4"/>
        <v>4.3776007228292153</v>
      </c>
    </row>
    <row r="16" spans="1:17" x14ac:dyDescent="0.4">
      <c r="A16" t="s">
        <v>13</v>
      </c>
      <c r="B16">
        <v>3159326</v>
      </c>
      <c r="C16">
        <v>3.0725002288818299E-3</v>
      </c>
      <c r="D16">
        <v>2910420</v>
      </c>
      <c r="E16">
        <f t="shared" si="0"/>
        <v>7.8784525560198606</v>
      </c>
      <c r="F16">
        <v>7.6198577880859299E-4</v>
      </c>
      <c r="G16">
        <v>2624859</v>
      </c>
      <c r="H16">
        <f t="shared" si="1"/>
        <v>16.917120930223724</v>
      </c>
      <c r="I16" s="1" t="s">
        <v>64</v>
      </c>
      <c r="J16">
        <v>2896923</v>
      </c>
      <c r="K16">
        <f t="shared" si="2"/>
        <v>8.3056639295849806</v>
      </c>
      <c r="L16" s="1" t="s">
        <v>101</v>
      </c>
      <c r="M16">
        <v>2966352</v>
      </c>
      <c r="N16">
        <f t="shared" si="3"/>
        <v>6.1080749501634211</v>
      </c>
      <c r="O16" s="1" t="s">
        <v>138</v>
      </c>
      <c r="P16">
        <v>2985549</v>
      </c>
      <c r="Q16">
        <f t="shared" si="4"/>
        <v>5.5004453481533719</v>
      </c>
    </row>
    <row r="17" spans="1:17" x14ac:dyDescent="0.4">
      <c r="A17" t="s">
        <v>14</v>
      </c>
      <c r="B17">
        <v>253417</v>
      </c>
      <c r="C17">
        <v>2.9342174530029201E-3</v>
      </c>
      <c r="D17">
        <v>236628</v>
      </c>
      <c r="E17">
        <f t="shared" si="0"/>
        <v>6.625048832556617</v>
      </c>
      <c r="F17">
        <v>4.4083595275878901E-4</v>
      </c>
      <c r="G17">
        <v>210709</v>
      </c>
      <c r="H17">
        <f t="shared" si="1"/>
        <v>16.852855175461791</v>
      </c>
      <c r="I17" s="1" t="s">
        <v>65</v>
      </c>
      <c r="J17">
        <v>243048</v>
      </c>
      <c r="K17">
        <f t="shared" si="2"/>
        <v>4.0916749862874235</v>
      </c>
      <c r="L17" s="1" t="s">
        <v>102</v>
      </c>
      <c r="M17">
        <v>244054</v>
      </c>
      <c r="N17">
        <f t="shared" si="3"/>
        <v>3.6947008290682946</v>
      </c>
      <c r="O17" s="1" t="s">
        <v>139</v>
      </c>
      <c r="P17">
        <v>240360</v>
      </c>
      <c r="Q17">
        <f t="shared" si="4"/>
        <v>5.1523773069683569</v>
      </c>
    </row>
    <row r="18" spans="1:17" x14ac:dyDescent="0.4">
      <c r="A18" t="s">
        <v>15</v>
      </c>
      <c r="B18">
        <v>550893</v>
      </c>
      <c r="C18">
        <v>3.342866897583E-3</v>
      </c>
      <c r="D18">
        <v>512219</v>
      </c>
      <c r="E18">
        <f t="shared" si="0"/>
        <v>7.0202380498572321</v>
      </c>
      <c r="F18">
        <v>5.4621696472167904E-4</v>
      </c>
      <c r="G18">
        <v>440525</v>
      </c>
      <c r="H18">
        <f t="shared" si="1"/>
        <v>20.034380542137946</v>
      </c>
      <c r="I18" s="1" t="s">
        <v>66</v>
      </c>
      <c r="J18">
        <v>515077</v>
      </c>
      <c r="K18">
        <f t="shared" si="2"/>
        <v>6.5014440190744844</v>
      </c>
      <c r="L18" s="1" t="s">
        <v>103</v>
      </c>
      <c r="M18">
        <v>524444</v>
      </c>
      <c r="N18">
        <f t="shared" si="3"/>
        <v>4.8011138279121353</v>
      </c>
      <c r="O18" s="1" t="s">
        <v>140</v>
      </c>
      <c r="P18">
        <v>523533</v>
      </c>
      <c r="Q18">
        <f t="shared" si="4"/>
        <v>4.9664816942673076</v>
      </c>
    </row>
    <row r="19" spans="1:17" x14ac:dyDescent="0.4">
      <c r="A19" t="s">
        <v>16</v>
      </c>
      <c r="B19">
        <v>11855957</v>
      </c>
      <c r="C19">
        <v>3.0879974365234301E-3</v>
      </c>
      <c r="D19">
        <v>10769918</v>
      </c>
      <c r="E19">
        <f t="shared" si="0"/>
        <v>9.16028119872567</v>
      </c>
      <c r="F19">
        <v>6.7257881164550705E-4</v>
      </c>
      <c r="G19">
        <v>9565845</v>
      </c>
      <c r="H19">
        <f t="shared" si="1"/>
        <v>19.316129436029499</v>
      </c>
      <c r="I19">
        <v>5.7678966522216797</v>
      </c>
      <c r="J19">
        <v>11028827</v>
      </c>
      <c r="K19">
        <f t="shared" si="2"/>
        <v>6.9764929140684302</v>
      </c>
      <c r="L19" s="1" t="s">
        <v>104</v>
      </c>
      <c r="M19">
        <v>11153837</v>
      </c>
      <c r="N19">
        <f t="shared" si="3"/>
        <v>5.9220862558796394</v>
      </c>
      <c r="O19" s="1" t="s">
        <v>141</v>
      </c>
      <c r="P19">
        <v>11212082</v>
      </c>
      <c r="Q19">
        <f t="shared" si="4"/>
        <v>5.4308142311919649</v>
      </c>
    </row>
    <row r="20" spans="1:17" x14ac:dyDescent="0.4">
      <c r="A20" t="s">
        <v>17</v>
      </c>
      <c r="B20">
        <v>9645830</v>
      </c>
      <c r="C20">
        <v>3.082275390625E-3</v>
      </c>
      <c r="D20">
        <v>8904212</v>
      </c>
      <c r="E20">
        <f t="shared" si="0"/>
        <v>7.6884830024995257</v>
      </c>
      <c r="F20">
        <v>7.8654289245605404E-4</v>
      </c>
      <c r="G20">
        <v>8066488</v>
      </c>
      <c r="H20">
        <f t="shared" si="1"/>
        <v>16.373313649525233</v>
      </c>
      <c r="I20" s="1" t="s">
        <v>67</v>
      </c>
      <c r="J20">
        <v>8927860</v>
      </c>
      <c r="K20">
        <f t="shared" si="2"/>
        <v>7.4433200668060708</v>
      </c>
      <c r="L20" s="1" t="s">
        <v>105</v>
      </c>
      <c r="M20">
        <v>9183941</v>
      </c>
      <c r="N20">
        <f t="shared" si="3"/>
        <v>4.7884837282017205</v>
      </c>
      <c r="O20" s="1" t="s">
        <v>142</v>
      </c>
      <c r="P20">
        <v>9061639</v>
      </c>
      <c r="Q20">
        <f t="shared" si="4"/>
        <v>6.0564098683057859</v>
      </c>
    </row>
    <row r="21" spans="1:17" x14ac:dyDescent="0.4">
      <c r="A21" t="s">
        <v>18</v>
      </c>
      <c r="B21">
        <v>5825947</v>
      </c>
      <c r="C21">
        <v>3.4840106964111302E-3</v>
      </c>
      <c r="D21">
        <v>5354008</v>
      </c>
      <c r="E21">
        <f t="shared" si="0"/>
        <v>8.1006401191085331</v>
      </c>
      <c r="F21">
        <v>7.2407722473144499E-4</v>
      </c>
      <c r="G21">
        <v>4810034</v>
      </c>
      <c r="H21">
        <f t="shared" si="1"/>
        <v>17.437731582522119</v>
      </c>
      <c r="I21" s="1" t="s">
        <v>68</v>
      </c>
      <c r="J21">
        <v>5345465</v>
      </c>
      <c r="K21">
        <f t="shared" si="2"/>
        <v>8.2472772237715173</v>
      </c>
      <c r="L21" s="1" t="s">
        <v>106</v>
      </c>
      <c r="M21">
        <v>5470282</v>
      </c>
      <c r="N21">
        <f t="shared" si="3"/>
        <v>6.1048444141355906</v>
      </c>
      <c r="O21" s="1" t="s">
        <v>143</v>
      </c>
      <c r="P21">
        <v>5538461</v>
      </c>
      <c r="Q21">
        <f t="shared" si="4"/>
        <v>4.9345797344191418</v>
      </c>
    </row>
    <row r="22" spans="1:17" x14ac:dyDescent="0.4">
      <c r="A22" t="s">
        <v>19</v>
      </c>
      <c r="B22">
        <v>6174178</v>
      </c>
      <c r="C22">
        <v>3.2114982604980399E-3</v>
      </c>
      <c r="D22">
        <v>5710688</v>
      </c>
      <c r="E22">
        <f t="shared" si="0"/>
        <v>7.5069102316130181</v>
      </c>
      <c r="F22">
        <v>7.1072578430175705E-4</v>
      </c>
      <c r="G22">
        <v>5177859</v>
      </c>
      <c r="H22">
        <f t="shared" si="1"/>
        <v>16.136868745928609</v>
      </c>
      <c r="I22" s="1" t="s">
        <v>69</v>
      </c>
      <c r="J22">
        <v>5664850</v>
      </c>
      <c r="K22">
        <f t="shared" si="2"/>
        <v>8.249324849396956</v>
      </c>
      <c r="L22" s="1" t="s">
        <v>107</v>
      </c>
      <c r="M22">
        <v>5799893</v>
      </c>
      <c r="N22">
        <f t="shared" si="3"/>
        <v>6.0621025179384205</v>
      </c>
      <c r="O22" s="1" t="s">
        <v>144</v>
      </c>
      <c r="P22">
        <v>5875450</v>
      </c>
      <c r="Q22">
        <f t="shared" si="4"/>
        <v>4.8383444727379095</v>
      </c>
    </row>
    <row r="23" spans="1:17" x14ac:dyDescent="0.4">
      <c r="A23" t="s">
        <v>20</v>
      </c>
      <c r="B23">
        <v>5150097</v>
      </c>
      <c r="C23">
        <v>3.17144393920898E-3</v>
      </c>
      <c r="D23">
        <v>4701344</v>
      </c>
      <c r="E23">
        <f t="shared" si="0"/>
        <v>8.7134863673441494</v>
      </c>
      <c r="F23">
        <v>7.3432922363281196E-4</v>
      </c>
      <c r="G23">
        <v>4180958</v>
      </c>
      <c r="H23">
        <f t="shared" si="1"/>
        <v>18.817878575879252</v>
      </c>
      <c r="I23" s="1" t="s">
        <v>70</v>
      </c>
      <c r="J23">
        <v>4673513</v>
      </c>
      <c r="K23">
        <f t="shared" si="2"/>
        <v>9.2538839559720927</v>
      </c>
      <c r="L23">
        <v>3.5296657085418701</v>
      </c>
      <c r="M23">
        <v>4832202</v>
      </c>
      <c r="N23">
        <f t="shared" si="3"/>
        <v>6.17260218593941</v>
      </c>
      <c r="O23">
        <v>0.53810930252075195</v>
      </c>
      <c r="P23">
        <v>4927105</v>
      </c>
      <c r="Q23">
        <f t="shared" si="4"/>
        <v>4.3298601948662325</v>
      </c>
    </row>
    <row r="24" spans="1:17" x14ac:dyDescent="0.4">
      <c r="A24" t="s">
        <v>21</v>
      </c>
      <c r="B24">
        <v>436862</v>
      </c>
      <c r="C24">
        <v>3.1461715698242101E-3</v>
      </c>
      <c r="D24">
        <v>407744</v>
      </c>
      <c r="E24">
        <f t="shared" si="0"/>
        <v>6.6652627145414343</v>
      </c>
      <c r="F24">
        <v>5.6672096252441395E-4</v>
      </c>
      <c r="G24">
        <v>350995</v>
      </c>
      <c r="H24">
        <f t="shared" si="1"/>
        <v>19.65540605500135</v>
      </c>
      <c r="I24" s="1" t="s">
        <v>71</v>
      </c>
      <c r="J24">
        <v>410794</v>
      </c>
      <c r="K24">
        <f t="shared" si="2"/>
        <v>5.9671017392219969</v>
      </c>
      <c r="L24" s="1" t="s">
        <v>108</v>
      </c>
      <c r="M24">
        <v>417320</v>
      </c>
      <c r="N24">
        <f t="shared" si="3"/>
        <v>4.4732661572762105</v>
      </c>
      <c r="O24" s="1" t="s">
        <v>145</v>
      </c>
      <c r="P24">
        <v>406808</v>
      </c>
      <c r="Q24">
        <f t="shared" si="4"/>
        <v>6.879518017131268</v>
      </c>
    </row>
    <row r="25" spans="1:17" x14ac:dyDescent="0.4">
      <c r="A25" t="s">
        <v>22</v>
      </c>
      <c r="B25">
        <v>948913</v>
      </c>
      <c r="C25">
        <v>3.2517910003662101E-3</v>
      </c>
      <c r="D25">
        <v>894303</v>
      </c>
      <c r="E25">
        <f t="shared" si="0"/>
        <v>5.7550059910655662</v>
      </c>
      <c r="F25">
        <v>6.1488151550292904E-4</v>
      </c>
      <c r="G25">
        <v>788555</v>
      </c>
      <c r="H25">
        <f t="shared" si="1"/>
        <v>16.899125631116867</v>
      </c>
      <c r="I25" s="1" t="s">
        <v>72</v>
      </c>
      <c r="J25">
        <v>881938</v>
      </c>
      <c r="K25">
        <f t="shared" si="2"/>
        <v>7.058075924768656</v>
      </c>
      <c r="L25" s="1" t="s">
        <v>109</v>
      </c>
      <c r="M25">
        <v>898791</v>
      </c>
      <c r="N25">
        <f t="shared" si="3"/>
        <v>5.2820437700821881</v>
      </c>
      <c r="O25" s="1" t="s">
        <v>146</v>
      </c>
      <c r="P25">
        <v>905929</v>
      </c>
      <c r="Q25">
        <f t="shared" si="4"/>
        <v>4.5298146405413355</v>
      </c>
    </row>
    <row r="26" spans="1:17" x14ac:dyDescent="0.4">
      <c r="A26" t="s">
        <v>23</v>
      </c>
      <c r="B26">
        <v>9396044</v>
      </c>
      <c r="C26">
        <v>3.2193660736083902E-3</v>
      </c>
      <c r="D26">
        <v>8648751</v>
      </c>
      <c r="E26">
        <f t="shared" si="0"/>
        <v>7.9532726751811724</v>
      </c>
      <c r="F26">
        <v>7.4076652526855404E-4</v>
      </c>
      <c r="G26">
        <v>7879462</v>
      </c>
      <c r="H26">
        <f t="shared" si="1"/>
        <v>16.140643870973783</v>
      </c>
      <c r="I26" s="1" t="s">
        <v>73</v>
      </c>
      <c r="J26">
        <v>8629319</v>
      </c>
      <c r="K26">
        <f t="shared" si="2"/>
        <v>8.1600831158304494</v>
      </c>
      <c r="L26" s="1" t="s">
        <v>110</v>
      </c>
      <c r="M26">
        <v>8792905</v>
      </c>
      <c r="N26">
        <f t="shared" si="3"/>
        <v>6.4190738144691535</v>
      </c>
      <c r="O26" s="1" t="s">
        <v>147</v>
      </c>
      <c r="P26">
        <v>8993638</v>
      </c>
      <c r="Q26">
        <f t="shared" si="4"/>
        <v>4.2827172797402824</v>
      </c>
    </row>
    <row r="27" spans="1:17" x14ac:dyDescent="0.4">
      <c r="A27" t="s">
        <v>24</v>
      </c>
      <c r="B27">
        <v>9642140</v>
      </c>
      <c r="C27">
        <v>3.2222270965576098E-3</v>
      </c>
      <c r="D27">
        <v>8921754</v>
      </c>
      <c r="E27">
        <f t="shared" si="0"/>
        <v>7.4712252674198885</v>
      </c>
      <c r="F27">
        <v>7.2908401489257802E-4</v>
      </c>
      <c r="G27">
        <v>8124474</v>
      </c>
      <c r="H27">
        <f t="shared" si="1"/>
        <v>15.739929102875502</v>
      </c>
      <c r="I27" s="1" t="s">
        <v>74</v>
      </c>
      <c r="J27">
        <v>8898902</v>
      </c>
      <c r="K27">
        <f t="shared" si="2"/>
        <v>7.7082265970002508</v>
      </c>
      <c r="L27" s="1" t="s">
        <v>111</v>
      </c>
      <c r="M27">
        <v>9040535</v>
      </c>
      <c r="N27">
        <f t="shared" si="3"/>
        <v>6.2393306880007966</v>
      </c>
      <c r="O27" s="1" t="s">
        <v>148</v>
      </c>
      <c r="P27">
        <v>9265146</v>
      </c>
      <c r="Q27">
        <f t="shared" si="4"/>
        <v>3.9098581850087224</v>
      </c>
    </row>
    <row r="28" spans="1:17" x14ac:dyDescent="0.4">
      <c r="A28" t="s">
        <v>25</v>
      </c>
      <c r="B28">
        <v>41570193</v>
      </c>
      <c r="C28">
        <v>3.7784576416015599E-3</v>
      </c>
      <c r="D28">
        <v>38505643</v>
      </c>
      <c r="E28">
        <f t="shared" si="0"/>
        <v>7.3719888671192848</v>
      </c>
      <c r="F28">
        <v>7.6246261596679601E-4</v>
      </c>
      <c r="G28">
        <v>35007314</v>
      </c>
      <c r="H28">
        <f t="shared" si="1"/>
        <v>15.787463387528655</v>
      </c>
      <c r="I28" s="1" t="s">
        <v>75</v>
      </c>
      <c r="J28">
        <v>38720664</v>
      </c>
      <c r="K28">
        <f t="shared" si="2"/>
        <v>6.8547408476068412</v>
      </c>
      <c r="L28" s="1" t="s">
        <v>112</v>
      </c>
      <c r="M28">
        <v>39539603</v>
      </c>
      <c r="N28">
        <f t="shared" si="3"/>
        <v>4.8847259381259072</v>
      </c>
      <c r="O28" s="1" t="s">
        <v>149</v>
      </c>
      <c r="P28">
        <v>39242886</v>
      </c>
      <c r="Q28">
        <f t="shared" si="4"/>
        <v>5.5984993863271217</v>
      </c>
    </row>
    <row r="29" spans="1:17" x14ac:dyDescent="0.4">
      <c r="A29" t="s">
        <v>26</v>
      </c>
      <c r="B29">
        <v>1541596</v>
      </c>
      <c r="C29">
        <v>3.0391216278076098E-3</v>
      </c>
      <c r="D29">
        <v>1411094</v>
      </c>
      <c r="E29">
        <f t="shared" si="0"/>
        <v>8.465382629430799</v>
      </c>
      <c r="F29">
        <v>5.9151649475097602E-4</v>
      </c>
      <c r="G29">
        <v>1272935</v>
      </c>
      <c r="H29">
        <f t="shared" si="1"/>
        <v>17.427458296466778</v>
      </c>
      <c r="I29" s="1" t="s">
        <v>76</v>
      </c>
      <c r="J29">
        <v>1419475</v>
      </c>
      <c r="K29">
        <f t="shared" si="2"/>
        <v>7.9217252769208022</v>
      </c>
      <c r="L29" s="1" t="s">
        <v>113</v>
      </c>
      <c r="M29">
        <v>1431498</v>
      </c>
      <c r="N29">
        <f t="shared" si="3"/>
        <v>7.1418192574448813</v>
      </c>
      <c r="O29" s="1" t="s">
        <v>150</v>
      </c>
      <c r="P29">
        <v>1460103</v>
      </c>
      <c r="Q29">
        <f t="shared" si="4"/>
        <v>5.2862747438369064</v>
      </c>
    </row>
    <row r="30" spans="1:17" x14ac:dyDescent="0.4">
      <c r="A30" t="s">
        <v>27</v>
      </c>
      <c r="B30">
        <v>1743094</v>
      </c>
      <c r="C30">
        <v>3.03483009338378E-3</v>
      </c>
      <c r="D30">
        <v>1611063</v>
      </c>
      <c r="E30">
        <f t="shared" si="0"/>
        <v>7.5745197906710704</v>
      </c>
      <c r="F30">
        <v>6.0081481933593696E-4</v>
      </c>
      <c r="G30">
        <v>1440164</v>
      </c>
      <c r="H30">
        <f t="shared" si="1"/>
        <v>17.378867691587487</v>
      </c>
      <c r="I30" s="1" t="s">
        <v>77</v>
      </c>
      <c r="J30">
        <v>1635160</v>
      </c>
      <c r="K30">
        <f t="shared" si="2"/>
        <v>6.1920929106519784</v>
      </c>
      <c r="L30" s="1" t="s">
        <v>114</v>
      </c>
      <c r="M30">
        <v>1644756</v>
      </c>
      <c r="N30">
        <f t="shared" si="3"/>
        <v>5.6415775626558293</v>
      </c>
      <c r="O30" s="1" t="s">
        <v>151</v>
      </c>
      <c r="P30">
        <v>1645219</v>
      </c>
      <c r="Q30">
        <f t="shared" si="4"/>
        <v>5.6150155986997827</v>
      </c>
    </row>
    <row r="31" spans="1:17" x14ac:dyDescent="0.4">
      <c r="A31" t="s">
        <v>28</v>
      </c>
      <c r="B31">
        <v>837945</v>
      </c>
      <c r="C31">
        <v>2.97307968139648E-3</v>
      </c>
      <c r="D31">
        <v>765897</v>
      </c>
      <c r="E31">
        <f t="shared" si="0"/>
        <v>8.5981776846929101</v>
      </c>
      <c r="F31">
        <v>6.3443183898925705E-4</v>
      </c>
      <c r="G31">
        <v>706436</v>
      </c>
      <c r="H31">
        <f t="shared" si="1"/>
        <v>15.694228141465134</v>
      </c>
      <c r="I31" s="1" t="s">
        <v>78</v>
      </c>
      <c r="J31">
        <v>763972</v>
      </c>
      <c r="K31">
        <f t="shared" si="2"/>
        <v>8.8279063661696178</v>
      </c>
      <c r="L31" s="1" t="s">
        <v>115</v>
      </c>
      <c r="M31">
        <v>793432</v>
      </c>
      <c r="N31">
        <f t="shared" si="3"/>
        <v>5.3121624927650384</v>
      </c>
      <c r="O31" s="1" t="s">
        <v>152</v>
      </c>
      <c r="P31">
        <v>803586</v>
      </c>
      <c r="Q31">
        <f t="shared" si="4"/>
        <v>4.1003884503159522</v>
      </c>
    </row>
    <row r="32" spans="1:17" x14ac:dyDescent="0.4">
      <c r="A32" t="s">
        <v>29</v>
      </c>
      <c r="B32">
        <v>1155392</v>
      </c>
      <c r="C32">
        <v>3.0202865600585898E-3</v>
      </c>
      <c r="D32">
        <v>1065069</v>
      </c>
      <c r="E32">
        <f t="shared" si="0"/>
        <v>7.8175199412839973</v>
      </c>
      <c r="F32">
        <v>6.1702728271484299E-4</v>
      </c>
      <c r="G32">
        <v>965726</v>
      </c>
      <c r="H32">
        <f t="shared" si="1"/>
        <v>16.415727302941338</v>
      </c>
      <c r="I32" s="1" t="s">
        <v>79</v>
      </c>
      <c r="J32">
        <v>1056995</v>
      </c>
      <c r="K32">
        <f t="shared" si="2"/>
        <v>8.5163303883011139</v>
      </c>
      <c r="L32" s="1" t="s">
        <v>116</v>
      </c>
      <c r="M32">
        <v>1085479</v>
      </c>
      <c r="N32">
        <f t="shared" si="3"/>
        <v>6.0510199135877691</v>
      </c>
      <c r="O32" s="1" t="s">
        <v>153</v>
      </c>
      <c r="P32">
        <v>1103989</v>
      </c>
      <c r="Q32">
        <f t="shared" si="4"/>
        <v>4.4489662382983433</v>
      </c>
    </row>
    <row r="33" spans="1:17" x14ac:dyDescent="0.4">
      <c r="A33" t="s">
        <v>30</v>
      </c>
      <c r="B33">
        <v>1626528</v>
      </c>
      <c r="C33">
        <v>3.0562877655029201E-3</v>
      </c>
      <c r="D33">
        <v>1491940</v>
      </c>
      <c r="E33">
        <f t="shared" si="0"/>
        <v>8.2745578311593775</v>
      </c>
      <c r="F33">
        <v>7.0714950561523405E-4</v>
      </c>
      <c r="G33">
        <v>1347276</v>
      </c>
      <c r="H33">
        <f t="shared" si="1"/>
        <v>17.168594699876056</v>
      </c>
      <c r="I33" s="1" t="s">
        <v>80</v>
      </c>
      <c r="J33">
        <v>1504267</v>
      </c>
      <c r="K33">
        <f t="shared" si="2"/>
        <v>7.5166858486297183</v>
      </c>
      <c r="L33" s="1" t="s">
        <v>117</v>
      </c>
      <c r="M33">
        <v>1519228</v>
      </c>
      <c r="N33">
        <f t="shared" si="3"/>
        <v>6.5968738318676348</v>
      </c>
      <c r="O33" s="1" t="s">
        <v>154</v>
      </c>
      <c r="P33">
        <v>1535627</v>
      </c>
      <c r="Q33">
        <f t="shared" si="4"/>
        <v>5.5886526392413778</v>
      </c>
    </row>
    <row r="34" spans="1:17" x14ac:dyDescent="0.4">
      <c r="A34" t="s">
        <v>31</v>
      </c>
      <c r="B34">
        <v>2107619</v>
      </c>
      <c r="C34">
        <v>3.0620098114013598E-3</v>
      </c>
      <c r="D34">
        <v>1937207</v>
      </c>
      <c r="E34">
        <f t="shared" si="0"/>
        <v>8.085522098633577</v>
      </c>
      <c r="F34">
        <v>6.5183639526367101E-4</v>
      </c>
      <c r="G34">
        <v>1745685</v>
      </c>
      <c r="H34">
        <f t="shared" si="1"/>
        <v>17.172648377149759</v>
      </c>
      <c r="I34" s="1" t="s">
        <v>81</v>
      </c>
      <c r="J34">
        <v>1934720</v>
      </c>
      <c r="K34">
        <f t="shared" si="2"/>
        <v>8.203522553174933</v>
      </c>
      <c r="L34">
        <v>3.74955153465271</v>
      </c>
      <c r="M34">
        <v>1993602</v>
      </c>
      <c r="N34">
        <f t="shared" si="3"/>
        <v>5.4097538501977818</v>
      </c>
      <c r="O34" s="1" t="s">
        <v>155</v>
      </c>
      <c r="P34">
        <v>2002635</v>
      </c>
      <c r="Q34">
        <f t="shared" si="4"/>
        <v>4.9811659507719375</v>
      </c>
    </row>
    <row r="35" spans="1:17" x14ac:dyDescent="0.4">
      <c r="A35" t="s">
        <v>32</v>
      </c>
      <c r="B35">
        <v>2372945</v>
      </c>
      <c r="C35">
        <v>3.3152103424072201E-3</v>
      </c>
      <c r="D35">
        <v>2182540</v>
      </c>
      <c r="E35">
        <f t="shared" si="0"/>
        <v>8.0239954992635738</v>
      </c>
      <c r="F35">
        <v>6.3157081604003895E-4</v>
      </c>
      <c r="G35">
        <v>1960575</v>
      </c>
      <c r="H35">
        <f t="shared" si="1"/>
        <v>17.377983897646175</v>
      </c>
      <c r="I35" s="1" t="s">
        <v>82</v>
      </c>
      <c r="J35">
        <v>2200613</v>
      </c>
      <c r="K35">
        <f t="shared" si="2"/>
        <v>7.2623680700564064</v>
      </c>
      <c r="L35" s="1" t="s">
        <v>118</v>
      </c>
      <c r="M35">
        <v>2229483</v>
      </c>
      <c r="N35">
        <f t="shared" si="3"/>
        <v>6.0457364161411249</v>
      </c>
      <c r="O35" s="1" t="s">
        <v>156</v>
      </c>
      <c r="P35">
        <v>2222324</v>
      </c>
      <c r="Q35">
        <f t="shared" si="4"/>
        <v>6.3474290385997154</v>
      </c>
    </row>
    <row r="36" spans="1:17" x14ac:dyDescent="0.4">
      <c r="A36" t="s">
        <v>33</v>
      </c>
      <c r="B36">
        <v>4135689</v>
      </c>
      <c r="C36">
        <v>3.2217502593994102E-3</v>
      </c>
      <c r="D36">
        <v>3788742</v>
      </c>
      <c r="E36">
        <f t="shared" si="0"/>
        <v>8.3890979229821188</v>
      </c>
      <c r="F36">
        <v>6.63518905639648E-4</v>
      </c>
      <c r="G36">
        <v>3403167</v>
      </c>
      <c r="H36">
        <f t="shared" si="1"/>
        <v>17.712211919223133</v>
      </c>
      <c r="I36" s="1" t="s">
        <v>83</v>
      </c>
      <c r="J36">
        <v>3842312</v>
      </c>
      <c r="K36">
        <f t="shared" si="2"/>
        <v>7.0937877582187641</v>
      </c>
      <c r="L36" s="1" t="s">
        <v>119</v>
      </c>
      <c r="M36">
        <v>3877739</v>
      </c>
      <c r="N36">
        <f t="shared" si="3"/>
        <v>6.2371711219097952</v>
      </c>
      <c r="O36" s="1" t="s">
        <v>157</v>
      </c>
      <c r="P36">
        <v>3899058</v>
      </c>
      <c r="Q36">
        <f t="shared" si="4"/>
        <v>5.7216826507022169</v>
      </c>
    </row>
    <row r="37" spans="1:17" x14ac:dyDescent="0.4">
      <c r="A37" t="s">
        <v>34</v>
      </c>
      <c r="B37">
        <v>958060</v>
      </c>
      <c r="C37">
        <v>3.0269622802734301E-3</v>
      </c>
      <c r="D37">
        <v>879837</v>
      </c>
      <c r="E37">
        <f t="shared" si="0"/>
        <v>8.1647287226269754</v>
      </c>
      <c r="F37">
        <v>5.6934356689453103E-4</v>
      </c>
      <c r="G37">
        <v>808613</v>
      </c>
      <c r="H37">
        <f t="shared" si="1"/>
        <v>15.598918648101371</v>
      </c>
      <c r="I37" s="1" t="s">
        <v>84</v>
      </c>
      <c r="J37">
        <v>884683</v>
      </c>
      <c r="K37">
        <f t="shared" si="2"/>
        <v>7.6589148905079005</v>
      </c>
      <c r="L37" s="1" t="s">
        <v>120</v>
      </c>
      <c r="M37">
        <v>909830</v>
      </c>
      <c r="N37">
        <f t="shared" si="3"/>
        <v>5.0341314740204162</v>
      </c>
      <c r="O37" s="1" t="s">
        <v>158</v>
      </c>
      <c r="P37">
        <v>920984</v>
      </c>
      <c r="Q37">
        <f t="shared" si="4"/>
        <v>3.8699037638561258</v>
      </c>
    </row>
    <row r="38" spans="1:17" x14ac:dyDescent="0.4">
      <c r="A38" t="s">
        <v>35</v>
      </c>
      <c r="B38">
        <v>1219295</v>
      </c>
      <c r="C38">
        <v>3.01885604858398E-3</v>
      </c>
      <c r="D38">
        <v>1119007</v>
      </c>
      <c r="E38">
        <f t="shared" si="0"/>
        <v>8.2250808869059586</v>
      </c>
      <c r="F38">
        <v>5.6934356689453103E-4</v>
      </c>
      <c r="G38">
        <v>1017774</v>
      </c>
      <c r="H38">
        <f t="shared" si="1"/>
        <v>16.527665577239308</v>
      </c>
      <c r="I38" s="1" t="s">
        <v>85</v>
      </c>
      <c r="J38">
        <v>1131027</v>
      </c>
      <c r="K38">
        <f t="shared" si="2"/>
        <v>7.2392653131522726</v>
      </c>
      <c r="L38" s="1" t="s">
        <v>121</v>
      </c>
      <c r="M38">
        <v>1147983</v>
      </c>
      <c r="N38">
        <f t="shared" si="3"/>
        <v>5.8486256402265244</v>
      </c>
      <c r="O38" s="1" t="s">
        <v>159</v>
      </c>
      <c r="P38">
        <v>1164937</v>
      </c>
      <c r="Q38">
        <f t="shared" si="4"/>
        <v>4.4581499965143792</v>
      </c>
    </row>
    <row r="39" spans="1:17" x14ac:dyDescent="0.4">
      <c r="A39" t="s">
        <v>36</v>
      </c>
      <c r="B39">
        <v>1940755</v>
      </c>
      <c r="C39">
        <v>3.3984184265136701E-3</v>
      </c>
      <c r="D39">
        <v>1782534</v>
      </c>
      <c r="E39">
        <f t="shared" si="0"/>
        <v>8.1525488791733114</v>
      </c>
      <c r="F39">
        <v>8.3255767822265603E-4</v>
      </c>
      <c r="G39">
        <v>1611797</v>
      </c>
      <c r="H39">
        <f t="shared" si="1"/>
        <v>16.950001416974324</v>
      </c>
      <c r="I39">
        <v>3.3556358814239502</v>
      </c>
      <c r="J39">
        <v>1765711</v>
      </c>
      <c r="K39">
        <f t="shared" si="2"/>
        <v>9.0193764797720473</v>
      </c>
      <c r="L39" s="1" t="s">
        <v>122</v>
      </c>
      <c r="M39">
        <v>1820812</v>
      </c>
      <c r="N39">
        <f t="shared" si="3"/>
        <v>6.180223675837496</v>
      </c>
      <c r="O39" s="1" t="s">
        <v>160</v>
      </c>
      <c r="P39">
        <v>1836945</v>
      </c>
      <c r="Q39">
        <f t="shared" si="4"/>
        <v>5.3489492491324251</v>
      </c>
    </row>
    <row r="40" spans="1:17" x14ac:dyDescent="0.4">
      <c r="A40" t="s">
        <v>37</v>
      </c>
      <c r="B40">
        <v>2057237</v>
      </c>
      <c r="C40">
        <v>3.0925273895263598E-3</v>
      </c>
      <c r="D40">
        <v>1895497</v>
      </c>
      <c r="E40">
        <f t="shared" si="0"/>
        <v>7.862001315356471</v>
      </c>
      <c r="F40">
        <v>7.4315071105956999E-4</v>
      </c>
      <c r="G40">
        <v>1723336</v>
      </c>
      <c r="H40">
        <f t="shared" si="1"/>
        <v>16.230555837757148</v>
      </c>
      <c r="I40" s="1" t="s">
        <v>86</v>
      </c>
      <c r="J40">
        <v>1907331</v>
      </c>
      <c r="K40">
        <f t="shared" si="2"/>
        <v>7.2867637515755357</v>
      </c>
      <c r="L40" s="1" t="s">
        <v>123</v>
      </c>
      <c r="M40">
        <v>1942173</v>
      </c>
      <c r="N40">
        <f t="shared" si="3"/>
        <v>5.5931329253751514</v>
      </c>
      <c r="O40" s="1" t="s">
        <v>161</v>
      </c>
      <c r="P40">
        <v>1934324</v>
      </c>
      <c r="Q40">
        <f t="shared" si="4"/>
        <v>5.9746640761370715</v>
      </c>
    </row>
    <row r="41" spans="1:17" x14ac:dyDescent="0.4">
      <c r="A41" t="s">
        <v>38</v>
      </c>
      <c r="B41">
        <v>2823758</v>
      </c>
      <c r="C41">
        <v>3.14092636108398E-3</v>
      </c>
      <c r="D41">
        <v>2586845</v>
      </c>
      <c r="E41">
        <f t="shared" si="0"/>
        <v>8.3899895104325513</v>
      </c>
      <c r="F41">
        <v>7.0524215698242101E-4</v>
      </c>
      <c r="G41">
        <v>2286791</v>
      </c>
      <c r="H41">
        <f t="shared" si="1"/>
        <v>19.016041742953892</v>
      </c>
      <c r="I41" s="1" t="s">
        <v>87</v>
      </c>
      <c r="J41">
        <v>2602730</v>
      </c>
      <c r="K41">
        <f t="shared" si="2"/>
        <v>7.827441303397813</v>
      </c>
      <c r="L41" s="1" t="s">
        <v>124</v>
      </c>
      <c r="M41">
        <v>2659679</v>
      </c>
      <c r="N41">
        <f t="shared" si="3"/>
        <v>5.8106608285837522</v>
      </c>
      <c r="O41">
        <v>0.93919253349304199</v>
      </c>
      <c r="P41">
        <v>2637440</v>
      </c>
      <c r="Q41">
        <f t="shared" si="4"/>
        <v>6.5982283184323869</v>
      </c>
    </row>
    <row r="42" spans="1:17" x14ac:dyDescent="0.4">
      <c r="C42">
        <f>AVERAGE(C3:C41)</f>
        <v>3.1551436374061929E-3</v>
      </c>
      <c r="E42">
        <f>AVERAGE(E3:E41)</f>
        <v>7.7098616198466381</v>
      </c>
      <c r="F42">
        <f>AVERAGE(F3:F41)</f>
        <v>6.7320236792931161E-4</v>
      </c>
      <c r="H42">
        <f>AVERAGE(H3:H41)</f>
        <v>17.357763405970424</v>
      </c>
      <c r="I42">
        <f>AVERAGE(I3:I41)</f>
        <v>4.5617662668228149</v>
      </c>
      <c r="K42">
        <f>AVERAGE(K3:K41)</f>
        <v>7.6594603507714529</v>
      </c>
      <c r="L42">
        <f>AVERAGE(L3:L41)</f>
        <v>3.63960862159729</v>
      </c>
      <c r="N42">
        <f>AVERAGE(N3:N41)</f>
        <v>5.6739618745154425</v>
      </c>
      <c r="O42">
        <f>AVERAGE(O3:O41)</f>
        <v>0.73865091800689697</v>
      </c>
      <c r="Q42">
        <f>AVERAGE(Q3:Q41)</f>
        <v>4.9675481739070415</v>
      </c>
    </row>
    <row r="46" spans="1:17" x14ac:dyDescent="0.4">
      <c r="C46" t="s">
        <v>39</v>
      </c>
      <c r="E46" t="s">
        <v>40</v>
      </c>
      <c r="G46" t="s">
        <v>41</v>
      </c>
      <c r="I46" t="s">
        <v>42</v>
      </c>
      <c r="K46" t="s">
        <v>43</v>
      </c>
    </row>
    <row r="47" spans="1:17" x14ac:dyDescent="0.4">
      <c r="B47" t="s">
        <v>48</v>
      </c>
      <c r="C47" t="s">
        <v>45</v>
      </c>
      <c r="D47" t="s">
        <v>47</v>
      </c>
      <c r="E47" t="s">
        <v>45</v>
      </c>
      <c r="F47" t="s">
        <v>47</v>
      </c>
      <c r="G47" t="s">
        <v>45</v>
      </c>
      <c r="H47" t="s">
        <v>47</v>
      </c>
      <c r="I47" t="s">
        <v>45</v>
      </c>
      <c r="J47" t="s">
        <v>47</v>
      </c>
      <c r="K47" t="s">
        <v>45</v>
      </c>
      <c r="L47" t="s">
        <v>47</v>
      </c>
    </row>
    <row r="48" spans="1:17" x14ac:dyDescent="0.4">
      <c r="C48">
        <v>4.5641025641025672E-3</v>
      </c>
      <c r="D48">
        <v>7.7098616198466381</v>
      </c>
      <c r="E48">
        <v>1.0256410256410263E-3</v>
      </c>
      <c r="F48">
        <v>17.357763405970424</v>
      </c>
      <c r="G48">
        <v>4.0083589743589743</v>
      </c>
      <c r="H48">
        <v>7.6594603507714529</v>
      </c>
      <c r="I48">
        <v>3.5960000000000005</v>
      </c>
      <c r="J48">
        <v>5.6739618745154425</v>
      </c>
      <c r="K48">
        <v>1.1473076923076921</v>
      </c>
      <c r="L48">
        <v>4.9675481739070415</v>
      </c>
    </row>
    <row r="49" spans="2:12" x14ac:dyDescent="0.4">
      <c r="B49" t="s">
        <v>49</v>
      </c>
      <c r="C49">
        <v>1.0128205128205134E-2</v>
      </c>
      <c r="D49">
        <v>7.7489505476983283</v>
      </c>
      <c r="E49">
        <v>3.2307692307692328E-3</v>
      </c>
      <c r="F49">
        <v>16.395884230843105</v>
      </c>
      <c r="G49">
        <v>15.757102564102562</v>
      </c>
      <c r="H49">
        <v>9.2279853640343656</v>
      </c>
      <c r="I49">
        <v>18.329282051282046</v>
      </c>
      <c r="J49">
        <v>7.13209004498216</v>
      </c>
      <c r="K49">
        <v>1.128974358974359</v>
      </c>
      <c r="L49">
        <v>5.3061600485302831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xLOLIB_150-becker_40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Ando Kazutoshi (安藤和敏)</cp:lastModifiedBy>
  <dcterms:created xsi:type="dcterms:W3CDTF">2026-05-19T12:30:12Z</dcterms:created>
  <dcterms:modified xsi:type="dcterms:W3CDTF">2026-06-02T08:30:54Z</dcterms:modified>
</cp:coreProperties>
</file>